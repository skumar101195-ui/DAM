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ales_Data" sheetId="1" state="visible" r:id="rId3"/>
    <sheet name="Products" sheetId="2" state="visible" r:id="rId4"/>
    <sheet name="Stores" sheetId="3" state="visible" r:id="rId5"/>
    <sheet name="Data_Dictionary" sheetId="4" state="visible" r:id="rId6"/>
  </sheets>
  <definedNames>
    <definedName function="false" hidden="true" localSheetId="0" name="_xlnm._FilterDatabase" vbProcedure="false">Sales_Data!$A$1:$O$101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<sst xmlns="http://schemas.openxmlformats.org/spreadsheetml/2006/main" count="1060" uniqueCount="214">
  <si>
    <t xml:space="preserve">OrderID</t>
  </si>
  <si>
    <t xml:space="preserve">Date</t>
  </si>
  <si>
    <t xml:space="preserve">City</t>
  </si>
  <si>
    <t xml:space="preserve">StoreID</t>
  </si>
  <si>
    <t xml:space="preserve">Product</t>
  </si>
  <si>
    <t xml:space="preserve">Category</t>
  </si>
  <si>
    <t xml:space="preserve">Size</t>
  </si>
  <si>
    <t xml:space="preserve">Unit_Price</t>
  </si>
  <si>
    <t xml:space="preserve">Quantity</t>
  </si>
  <si>
    <t xml:space="preserve">Discount_Pct</t>
  </si>
  <si>
    <t xml:space="preserve">Revenue</t>
  </si>
  <si>
    <t xml:space="preserve">Payment_Mode</t>
  </si>
  <si>
    <t xml:space="preserve">Customer_Type</t>
  </si>
  <si>
    <t xml:space="preserve">Order_Channel</t>
  </si>
  <si>
    <t xml:space="preserve">Rating</t>
  </si>
  <si>
    <t xml:space="preserve">SBX1001</t>
  </si>
  <si>
    <t xml:space="preserve">Hyderabad</t>
  </si>
  <si>
    <t xml:space="preserve">S07</t>
  </si>
  <si>
    <t xml:space="preserve">Cappuccino</t>
  </si>
  <si>
    <t xml:space="preserve">Hot Coffee</t>
  </si>
  <si>
    <t xml:space="preserve">Grande</t>
  </si>
  <si>
    <t xml:space="preserve">UPI</t>
  </si>
  <si>
    <t xml:space="preserve">New</t>
  </si>
  <si>
    <t xml:space="preserve">In-store</t>
  </si>
  <si>
    <t xml:space="preserve">SBX1002</t>
  </si>
  <si>
    <t xml:space="preserve">Bengaluru</t>
  </si>
  <si>
    <t xml:space="preserve">S05</t>
  </si>
  <si>
    <t xml:space="preserve">Cold Brew</t>
  </si>
  <si>
    <t xml:space="preserve">Cold Coffee</t>
  </si>
  <si>
    <t xml:space="preserve">Tall</t>
  </si>
  <si>
    <t xml:space="preserve">Member</t>
  </si>
  <si>
    <t xml:space="preserve">SBX1003</t>
  </si>
  <si>
    <t xml:space="preserve">Mumbai</t>
  </si>
  <si>
    <t xml:space="preserve">S03</t>
  </si>
  <si>
    <t xml:space="preserve">Venti</t>
  </si>
  <si>
    <t xml:space="preserve">Returning</t>
  </si>
  <si>
    <t xml:space="preserve">SBX1004</t>
  </si>
  <si>
    <t xml:space="preserve">S08</t>
  </si>
  <si>
    <t xml:space="preserve">Blueberry Muffin</t>
  </si>
  <si>
    <t xml:space="preserve">Food</t>
  </si>
  <si>
    <t xml:space="preserve">Regular</t>
  </si>
  <si>
    <t xml:space="preserve">Wallet</t>
  </si>
  <si>
    <t xml:space="preserve">SBX1005</t>
  </si>
  <si>
    <t xml:space="preserve">Delhi</t>
  </si>
  <si>
    <t xml:space="preserve">S01</t>
  </si>
  <si>
    <t xml:space="preserve">Latte</t>
  </si>
  <si>
    <t xml:space="preserve">Card</t>
  </si>
  <si>
    <t xml:space="preserve">SBX1006</t>
  </si>
  <si>
    <t xml:space="preserve">Veg Sandwich</t>
  </si>
  <si>
    <t xml:space="preserve">App</t>
  </si>
  <si>
    <t xml:space="preserve">SBX1007</t>
  </si>
  <si>
    <t xml:space="preserve">SBX1008</t>
  </si>
  <si>
    <t xml:space="preserve">Americano</t>
  </si>
  <si>
    <t xml:space="preserve">SBX1009</t>
  </si>
  <si>
    <t xml:space="preserve">S04</t>
  </si>
  <si>
    <t xml:space="preserve">Cash</t>
  </si>
  <si>
    <t xml:space="preserve">SBX1010</t>
  </si>
  <si>
    <t xml:space="preserve">Pune</t>
  </si>
  <si>
    <t xml:space="preserve">S09</t>
  </si>
  <si>
    <t xml:space="preserve">SBX1011</t>
  </si>
  <si>
    <t xml:space="preserve">S06</t>
  </si>
  <si>
    <t xml:space="preserve">SBX1012</t>
  </si>
  <si>
    <t xml:space="preserve">Delivery</t>
  </si>
  <si>
    <t xml:space="preserve">SBX1013</t>
  </si>
  <si>
    <t xml:space="preserve">SBX1014</t>
  </si>
  <si>
    <t xml:space="preserve">Frappuccino</t>
  </si>
  <si>
    <t xml:space="preserve">SBX1015</t>
  </si>
  <si>
    <t xml:space="preserve">SBX1016</t>
  </si>
  <si>
    <t xml:space="preserve">SBX1017</t>
  </si>
  <si>
    <t xml:space="preserve">Masala Chai</t>
  </si>
  <si>
    <t xml:space="preserve">Tea</t>
  </si>
  <si>
    <t xml:space="preserve">SBX1018</t>
  </si>
  <si>
    <t xml:space="preserve">SBX1019</t>
  </si>
  <si>
    <t xml:space="preserve">SBX1020</t>
  </si>
  <si>
    <t xml:space="preserve">S10</t>
  </si>
  <si>
    <t xml:space="preserve">SBX1021</t>
  </si>
  <si>
    <t xml:space="preserve">SBX1022</t>
  </si>
  <si>
    <t xml:space="preserve">SBX1023</t>
  </si>
  <si>
    <t xml:space="preserve">SBX1024</t>
  </si>
  <si>
    <t xml:space="preserve">SBX1025</t>
  </si>
  <si>
    <t xml:space="preserve">SBX1026</t>
  </si>
  <si>
    <t xml:space="preserve">SBX1027</t>
  </si>
  <si>
    <t xml:space="preserve">SBX1028</t>
  </si>
  <si>
    <t xml:space="preserve">SBX1029</t>
  </si>
  <si>
    <t xml:space="preserve">SBX1030</t>
  </si>
  <si>
    <t xml:space="preserve">S02</t>
  </si>
  <si>
    <t xml:space="preserve">SBX1031</t>
  </si>
  <si>
    <t xml:space="preserve">SBX1032</t>
  </si>
  <si>
    <t xml:space="preserve">SBX1033</t>
  </si>
  <si>
    <t xml:space="preserve">SBX1034</t>
  </si>
  <si>
    <t xml:space="preserve">SBX1035</t>
  </si>
  <si>
    <t xml:space="preserve">SBX1036</t>
  </si>
  <si>
    <t xml:space="preserve">SBX1037</t>
  </si>
  <si>
    <t xml:space="preserve">SBX1038</t>
  </si>
  <si>
    <t xml:space="preserve">SBX1039</t>
  </si>
  <si>
    <t xml:space="preserve">SBX1040</t>
  </si>
  <si>
    <t xml:space="preserve">SBX1041</t>
  </si>
  <si>
    <t xml:space="preserve">SBX1042</t>
  </si>
  <si>
    <t xml:space="preserve">SBX1043</t>
  </si>
  <si>
    <t xml:space="preserve">SBX1044</t>
  </si>
  <si>
    <t xml:space="preserve">SBX1045</t>
  </si>
  <si>
    <t xml:space="preserve">SBX1046</t>
  </si>
  <si>
    <t xml:space="preserve">SBX1047</t>
  </si>
  <si>
    <t xml:space="preserve">SBX1048</t>
  </si>
  <si>
    <t xml:space="preserve">SBX1049</t>
  </si>
  <si>
    <t xml:space="preserve">SBX1050</t>
  </si>
  <si>
    <t xml:space="preserve">SBX1051</t>
  </si>
  <si>
    <t xml:space="preserve">SBX1052</t>
  </si>
  <si>
    <t xml:space="preserve">SBX1053</t>
  </si>
  <si>
    <t xml:space="preserve">SBX1054</t>
  </si>
  <si>
    <t xml:space="preserve">SBX1055</t>
  </si>
  <si>
    <t xml:space="preserve">SBX1056</t>
  </si>
  <si>
    <t xml:space="preserve">SBX1057</t>
  </si>
  <si>
    <t xml:space="preserve">SBX1058</t>
  </si>
  <si>
    <t xml:space="preserve">SBX1059</t>
  </si>
  <si>
    <t xml:space="preserve">SBX1060</t>
  </si>
  <si>
    <t xml:space="preserve">SBX1061</t>
  </si>
  <si>
    <t xml:space="preserve">SBX1062</t>
  </si>
  <si>
    <t xml:space="preserve">SBX1063</t>
  </si>
  <si>
    <t xml:space="preserve">SBX1064</t>
  </si>
  <si>
    <t xml:space="preserve">SBX1065</t>
  </si>
  <si>
    <t xml:space="preserve">SBX1066</t>
  </si>
  <si>
    <t xml:space="preserve">SBX1067</t>
  </si>
  <si>
    <t xml:space="preserve">SBX1068</t>
  </si>
  <si>
    <t xml:space="preserve">SBX1069</t>
  </si>
  <si>
    <t xml:space="preserve">SBX1070</t>
  </si>
  <si>
    <t xml:space="preserve">SBX1071</t>
  </si>
  <si>
    <t xml:space="preserve">SBX1072</t>
  </si>
  <si>
    <t xml:space="preserve">SBX1073</t>
  </si>
  <si>
    <t xml:space="preserve">SBX1074</t>
  </si>
  <si>
    <t xml:space="preserve">SBX1075</t>
  </si>
  <si>
    <t xml:space="preserve">SBX1076</t>
  </si>
  <si>
    <t xml:space="preserve">SBX1077</t>
  </si>
  <si>
    <t xml:space="preserve">SBX1078</t>
  </si>
  <si>
    <t xml:space="preserve">SBX1079</t>
  </si>
  <si>
    <t xml:space="preserve">SBX1080</t>
  </si>
  <si>
    <t xml:space="preserve">SBX1081</t>
  </si>
  <si>
    <t xml:space="preserve">SBX1082</t>
  </si>
  <si>
    <t xml:space="preserve">SBX1083</t>
  </si>
  <si>
    <t xml:space="preserve">SBX1084</t>
  </si>
  <si>
    <t xml:space="preserve">SBX1085</t>
  </si>
  <si>
    <t xml:space="preserve">SBX1086</t>
  </si>
  <si>
    <t xml:space="preserve">SBX1087</t>
  </si>
  <si>
    <t xml:space="preserve">SBX1088</t>
  </si>
  <si>
    <t xml:space="preserve">SBX1089</t>
  </si>
  <si>
    <t xml:space="preserve">SBX1090</t>
  </si>
  <si>
    <t xml:space="preserve">SBX1091</t>
  </si>
  <si>
    <t xml:space="preserve">SBX1092</t>
  </si>
  <si>
    <t xml:space="preserve">SBX1093</t>
  </si>
  <si>
    <t xml:space="preserve">SBX1094</t>
  </si>
  <si>
    <t xml:space="preserve">SBX1095</t>
  </si>
  <si>
    <t xml:space="preserve">SBX1096</t>
  </si>
  <si>
    <t xml:space="preserve">SBX1097</t>
  </si>
  <si>
    <t xml:space="preserve">SBX1098</t>
  </si>
  <si>
    <t xml:space="preserve">SBX1099</t>
  </si>
  <si>
    <t xml:space="preserve">SBX1100</t>
  </si>
  <si>
    <t xml:space="preserve">Base_Price</t>
  </si>
  <si>
    <t xml:space="preserve">Cost_Price</t>
  </si>
  <si>
    <t xml:space="preserve">Store_Name</t>
  </si>
  <si>
    <t xml:space="preserve">Region</t>
  </si>
  <si>
    <t xml:space="preserve">Store_Type</t>
  </si>
  <si>
    <t xml:space="preserve">Connaught Place</t>
  </si>
  <si>
    <t xml:space="preserve">North</t>
  </si>
  <si>
    <t xml:space="preserve">High Street</t>
  </si>
  <si>
    <t xml:space="preserve">Saket Mall</t>
  </si>
  <si>
    <t xml:space="preserve">Mall</t>
  </si>
  <si>
    <t xml:space="preserve">Bandra</t>
  </si>
  <si>
    <t xml:space="preserve">West</t>
  </si>
  <si>
    <t xml:space="preserve">Andheri Mall</t>
  </si>
  <si>
    <t xml:space="preserve">Indiranagar</t>
  </si>
  <si>
    <t xml:space="preserve">South</t>
  </si>
  <si>
    <t xml:space="preserve">Manyata Tech Park</t>
  </si>
  <si>
    <t xml:space="preserve">Tech Park</t>
  </si>
  <si>
    <t xml:space="preserve">Banjara Hills</t>
  </si>
  <si>
    <t xml:space="preserve">HITEC City</t>
  </si>
  <si>
    <t xml:space="preserve">Koregaon Park</t>
  </si>
  <si>
    <t xml:space="preserve">Phoenix Mall</t>
  </si>
  <si>
    <t xml:space="preserve">Variable</t>
  </si>
  <si>
    <t xml:space="preserve">Type</t>
  </si>
  <si>
    <t xml:space="preserve">Description</t>
  </si>
  <si>
    <t xml:space="preserve">Example</t>
  </si>
  <si>
    <t xml:space="preserve">Text (ID)</t>
  </si>
  <si>
    <t xml:space="preserve">Unique order number</t>
  </si>
  <si>
    <t xml:space="preserve">Date of the order (Jul-Sep 2026)</t>
  </si>
  <si>
    <t xml:space="preserve">02-Jul-2026</t>
  </si>
  <si>
    <t xml:space="preserve">Text (category)</t>
  </si>
  <si>
    <t xml:space="preserve">City of the store</t>
  </si>
  <si>
    <t xml:space="preserve">Store code. Links to the Stores sheet</t>
  </si>
  <si>
    <t xml:space="preserve">Item sold. Links to the Products sheet</t>
  </si>
  <si>
    <t xml:space="preserve">Hot Coffee, Cold Coffee, Tea or Food</t>
  </si>
  <si>
    <t xml:space="preserve">Tall / Grande / Venti (Regular for food)</t>
  </si>
  <si>
    <t xml:space="preserve">Number (Rs)</t>
  </si>
  <si>
    <t xml:space="preserve">Price per item = Base price + size add-on (Grande +30, Venti +60)</t>
  </si>
  <si>
    <t xml:space="preserve">300</t>
  </si>
  <si>
    <t xml:space="preserve">Number (whole)</t>
  </si>
  <si>
    <t xml:space="preserve">Items bought in the order</t>
  </si>
  <si>
    <t xml:space="preserve">2</t>
  </si>
  <si>
    <t xml:space="preserve">Number (%)</t>
  </si>
  <si>
    <t xml:space="preserve">Discount on the order (0% to 20%)</t>
  </si>
  <si>
    <t xml:space="preserve">10%</t>
  </si>
  <si>
    <t xml:space="preserve">Formula: Unit_Price x Quantity x (1 - Discount_Pct)</t>
  </si>
  <si>
    <t xml:space="preserve">540.00</t>
  </si>
  <si>
    <t xml:space="preserve">UPI, Card, Cash or Wallet</t>
  </si>
  <si>
    <t xml:space="preserve">New, Returning or Member</t>
  </si>
  <si>
    <t xml:space="preserve">In-store, App or Delivery</t>
  </si>
  <si>
    <t xml:space="preserve">Number (1-5)</t>
  </si>
  <si>
    <t xml:space="preserve">Customer rating. 3 values are intentionally blank (missing data)</t>
  </si>
  <si>
    <t xml:space="preserve">4</t>
  </si>
  <si>
    <t xml:space="preserve">Notes and assumptions:</t>
  </si>
  <si>
    <t xml:space="preserve">1. This is SYNTHETIC (made-up) data created for teaching. It is not real Starbucks data.</t>
  </si>
  <si>
    <t xml:space="preserve">2. Prices (Rs) and costs are illustrative round numbers, not actual Starbucks India prices.</t>
  </si>
  <si>
    <t xml:space="preserve">3. Discount depends on customer type (New: 0/15%, Returning: 0/5%, Member: 0/10/20%).</t>
  </si>
  <si>
    <t xml:space="preserve">4. Revenue is an Excel formula; Pandas reads the calculated value.</t>
  </si>
  <si>
    <t xml:space="preserve">5. Sheets: Sales_Data (100 orders), Products and Stores (master tables), Data_Dictionary.</t>
  </si>
</sst>
</file>

<file path=xl/styles.xml><?xml version="1.0" encoding="utf-8"?>
<styleSheet xmlns="http://schemas.openxmlformats.org/spreadsheetml/2006/main">
  <numFmts count="5">
    <numFmt numFmtId="164" formatCode="General"/>
    <numFmt numFmtId="165" formatCode="dd\-mmm\-yyyy"/>
    <numFmt numFmtId="166" formatCode="#,##0"/>
    <numFmt numFmtId="167" formatCode="0%"/>
    <numFmt numFmtId="168" formatCode="#,##0.00"/>
  </numFmts>
  <fonts count="7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0"/>
      <color rgb="FFFFFFFF"/>
      <name val="Arial"/>
      <family val="0"/>
      <charset val="1"/>
    </font>
    <font>
      <sz val="10"/>
      <name val="Arial"/>
      <family val="0"/>
      <charset val="1"/>
    </font>
    <font>
      <b val="true"/>
      <sz val="10"/>
      <name val="Arial"/>
      <family val="0"/>
      <charset val="1"/>
    </font>
  </fonts>
  <fills count="3">
    <fill>
      <patternFill patternType="none"/>
    </fill>
    <fill>
      <patternFill patternType="gray125"/>
    </fill>
    <fill>
      <patternFill patternType="solid">
        <fgColor rgb="FF00704A"/>
        <bgColor rgb="FF008080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D0D0D0"/>
      </left>
      <right style="thin">
        <color rgb="FFD0D0D0"/>
      </right>
      <top style="thin">
        <color rgb="FFD0D0D0"/>
      </top>
      <bottom style="thin">
        <color rgb="FFD0D0D0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0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0" borderId="1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5" fontId="5" fillId="0" borderId="1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6" fontId="5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5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5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3">
    <dxf>
      <fill>
        <patternFill patternType="solid">
          <fgColor rgb="FF00704A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FFFFFF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704A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D0D0D0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O101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1"/>
    <col collapsed="false" customWidth="true" hidden="false" outlineLevel="0" max="2" min="2" style="0" width="13"/>
    <col collapsed="false" customWidth="true" hidden="false" outlineLevel="0" max="3" min="3" style="0" width="12"/>
    <col collapsed="false" customWidth="true" hidden="false" outlineLevel="0" max="4" min="4" style="0" width="10"/>
    <col collapsed="false" customWidth="true" hidden="false" outlineLevel="0" max="5" min="5" style="0" width="18"/>
    <col collapsed="false" customWidth="true" hidden="false" outlineLevel="0" max="6" min="6" style="0" width="13"/>
    <col collapsed="false" customWidth="true" hidden="false" outlineLevel="0" max="7" min="7" style="0" width="10"/>
    <col collapsed="false" customWidth="true" hidden="false" outlineLevel="0" max="8" min="8" style="0" width="11"/>
    <col collapsed="false" customWidth="true" hidden="false" outlineLevel="0" max="9" min="9" style="0" width="10"/>
    <col collapsed="false" customWidth="true" hidden="false" outlineLevel="0" max="10" min="10" style="0" width="13"/>
    <col collapsed="false" customWidth="true" hidden="false" outlineLevel="0" max="11" min="11" style="0" width="12"/>
    <col collapsed="false" customWidth="true" hidden="false" outlineLevel="0" max="12" min="12" style="0" width="14"/>
    <col collapsed="false" customWidth="true" hidden="false" outlineLevel="0" max="13" min="13" style="0" width="15"/>
    <col collapsed="false" customWidth="true" hidden="false" outlineLevel="0" max="14" min="14" style="0" width="14"/>
    <col collapsed="false" customWidth="true" hidden="false" outlineLevel="0" max="15" min="15" style="0" width="8"/>
  </cols>
  <sheetData>
    <row r="1" customFormat="false" ht="27.75" hidden="false" customHeight="tru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customFormat="false" ht="15" hidden="false" customHeight="false" outlineLevel="0" collapsed="false">
      <c r="A2" s="2" t="s">
        <v>15</v>
      </c>
      <c r="B2" s="3" t="n">
        <v>46204</v>
      </c>
      <c r="C2" s="2" t="s">
        <v>16</v>
      </c>
      <c r="D2" s="2" t="s">
        <v>17</v>
      </c>
      <c r="E2" s="2" t="s">
        <v>18</v>
      </c>
      <c r="F2" s="2" t="s">
        <v>19</v>
      </c>
      <c r="G2" s="2" t="s">
        <v>20</v>
      </c>
      <c r="H2" s="4" t="n">
        <v>280</v>
      </c>
      <c r="I2" s="5" t="n">
        <v>1</v>
      </c>
      <c r="J2" s="6" t="n">
        <v>0</v>
      </c>
      <c r="K2" s="7" t="n">
        <f aca="false">H2*I2*(1-J2)</f>
        <v>280</v>
      </c>
      <c r="L2" s="2" t="s">
        <v>21</v>
      </c>
      <c r="M2" s="2" t="s">
        <v>22</v>
      </c>
      <c r="N2" s="2" t="s">
        <v>23</v>
      </c>
      <c r="O2" s="2" t="n">
        <v>4</v>
      </c>
    </row>
    <row r="3" customFormat="false" ht="15" hidden="false" customHeight="false" outlineLevel="0" collapsed="false">
      <c r="A3" s="2" t="s">
        <v>24</v>
      </c>
      <c r="B3" s="3" t="n">
        <v>46204</v>
      </c>
      <c r="C3" s="2" t="s">
        <v>25</v>
      </c>
      <c r="D3" s="2" t="s">
        <v>26</v>
      </c>
      <c r="E3" s="2" t="s">
        <v>27</v>
      </c>
      <c r="F3" s="2" t="s">
        <v>28</v>
      </c>
      <c r="G3" s="2" t="s">
        <v>29</v>
      </c>
      <c r="H3" s="4" t="n">
        <v>300</v>
      </c>
      <c r="I3" s="5" t="n">
        <v>1</v>
      </c>
      <c r="J3" s="6" t="n">
        <v>0.1</v>
      </c>
      <c r="K3" s="7" t="n">
        <f aca="false">H3*I3*(1-J3)</f>
        <v>270</v>
      </c>
      <c r="L3" s="2" t="s">
        <v>21</v>
      </c>
      <c r="M3" s="2" t="s">
        <v>30</v>
      </c>
      <c r="N3" s="2" t="s">
        <v>23</v>
      </c>
      <c r="O3" s="2" t="n">
        <v>4</v>
      </c>
    </row>
    <row r="4" customFormat="false" ht="15" hidden="false" customHeight="false" outlineLevel="0" collapsed="false">
      <c r="A4" s="2" t="s">
        <v>31</v>
      </c>
      <c r="B4" s="3" t="n">
        <v>46204</v>
      </c>
      <c r="C4" s="2" t="s">
        <v>32</v>
      </c>
      <c r="D4" s="2" t="s">
        <v>33</v>
      </c>
      <c r="E4" s="2" t="s">
        <v>18</v>
      </c>
      <c r="F4" s="2" t="s">
        <v>19</v>
      </c>
      <c r="G4" s="2" t="s">
        <v>34</v>
      </c>
      <c r="H4" s="4" t="n">
        <v>310</v>
      </c>
      <c r="I4" s="5" t="n">
        <v>1</v>
      </c>
      <c r="J4" s="6" t="n">
        <v>0.05</v>
      </c>
      <c r="K4" s="7" t="n">
        <f aca="false">H4*I4*(1-J4)</f>
        <v>294.5</v>
      </c>
      <c r="L4" s="2" t="s">
        <v>21</v>
      </c>
      <c r="M4" s="2" t="s">
        <v>35</v>
      </c>
      <c r="N4" s="2" t="s">
        <v>23</v>
      </c>
      <c r="O4" s="2" t="n">
        <v>2</v>
      </c>
    </row>
    <row r="5" customFormat="false" ht="15" hidden="false" customHeight="false" outlineLevel="0" collapsed="false">
      <c r="A5" s="2" t="s">
        <v>36</v>
      </c>
      <c r="B5" s="3" t="n">
        <v>46205</v>
      </c>
      <c r="C5" s="2" t="s">
        <v>16</v>
      </c>
      <c r="D5" s="2" t="s">
        <v>37</v>
      </c>
      <c r="E5" s="2" t="s">
        <v>38</v>
      </c>
      <c r="F5" s="2" t="s">
        <v>39</v>
      </c>
      <c r="G5" s="2" t="s">
        <v>40</v>
      </c>
      <c r="H5" s="4" t="n">
        <v>180</v>
      </c>
      <c r="I5" s="5" t="n">
        <v>1</v>
      </c>
      <c r="J5" s="6" t="n">
        <v>0.2</v>
      </c>
      <c r="K5" s="7" t="n">
        <f aca="false">H5*I5*(1-J5)</f>
        <v>144</v>
      </c>
      <c r="L5" s="2" t="s">
        <v>41</v>
      </c>
      <c r="M5" s="2" t="s">
        <v>30</v>
      </c>
      <c r="N5" s="2" t="s">
        <v>23</v>
      </c>
      <c r="O5" s="2" t="n">
        <v>3</v>
      </c>
    </row>
    <row r="6" customFormat="false" ht="15" hidden="false" customHeight="false" outlineLevel="0" collapsed="false">
      <c r="A6" s="2" t="s">
        <v>42</v>
      </c>
      <c r="B6" s="3" t="n">
        <v>46207</v>
      </c>
      <c r="C6" s="2" t="s">
        <v>43</v>
      </c>
      <c r="D6" s="2" t="s">
        <v>44</v>
      </c>
      <c r="E6" s="2" t="s">
        <v>45</v>
      </c>
      <c r="F6" s="2" t="s">
        <v>19</v>
      </c>
      <c r="G6" s="2" t="s">
        <v>20</v>
      </c>
      <c r="H6" s="4" t="n">
        <v>300</v>
      </c>
      <c r="I6" s="5" t="n">
        <v>2</v>
      </c>
      <c r="J6" s="6" t="n">
        <v>0.2</v>
      </c>
      <c r="K6" s="7" t="n">
        <f aca="false">H6*I6*(1-J6)</f>
        <v>480</v>
      </c>
      <c r="L6" s="2" t="s">
        <v>46</v>
      </c>
      <c r="M6" s="2" t="s">
        <v>30</v>
      </c>
      <c r="N6" s="2" t="s">
        <v>23</v>
      </c>
      <c r="O6" s="2" t="n">
        <v>4</v>
      </c>
    </row>
    <row r="7" customFormat="false" ht="15" hidden="false" customHeight="false" outlineLevel="0" collapsed="false">
      <c r="A7" s="2" t="s">
        <v>47</v>
      </c>
      <c r="B7" s="3" t="n">
        <v>46207</v>
      </c>
      <c r="C7" s="2" t="s">
        <v>43</v>
      </c>
      <c r="D7" s="2" t="s">
        <v>44</v>
      </c>
      <c r="E7" s="2" t="s">
        <v>48</v>
      </c>
      <c r="F7" s="2" t="s">
        <v>39</v>
      </c>
      <c r="G7" s="2" t="s">
        <v>40</v>
      </c>
      <c r="H7" s="4" t="n">
        <v>240</v>
      </c>
      <c r="I7" s="5" t="n">
        <v>1</v>
      </c>
      <c r="J7" s="6" t="n">
        <v>0.1</v>
      </c>
      <c r="K7" s="7" t="n">
        <f aca="false">H7*I7*(1-J7)</f>
        <v>216</v>
      </c>
      <c r="L7" s="2" t="s">
        <v>21</v>
      </c>
      <c r="M7" s="2" t="s">
        <v>30</v>
      </c>
      <c r="N7" s="2" t="s">
        <v>49</v>
      </c>
      <c r="O7" s="2" t="n">
        <v>4</v>
      </c>
    </row>
    <row r="8" customFormat="false" ht="15" hidden="false" customHeight="false" outlineLevel="0" collapsed="false">
      <c r="A8" s="2" t="s">
        <v>50</v>
      </c>
      <c r="B8" s="3" t="n">
        <v>46207</v>
      </c>
      <c r="C8" s="2" t="s">
        <v>43</v>
      </c>
      <c r="D8" s="2" t="s">
        <v>44</v>
      </c>
      <c r="E8" s="2" t="s">
        <v>48</v>
      </c>
      <c r="F8" s="2" t="s">
        <v>39</v>
      </c>
      <c r="G8" s="2" t="s">
        <v>40</v>
      </c>
      <c r="H8" s="4" t="n">
        <v>240</v>
      </c>
      <c r="I8" s="5" t="n">
        <v>2</v>
      </c>
      <c r="J8" s="6" t="n">
        <v>0.1</v>
      </c>
      <c r="K8" s="7" t="n">
        <f aca="false">H8*I8*(1-J8)</f>
        <v>432</v>
      </c>
      <c r="L8" s="2" t="s">
        <v>21</v>
      </c>
      <c r="M8" s="2" t="s">
        <v>30</v>
      </c>
      <c r="N8" s="2" t="s">
        <v>49</v>
      </c>
      <c r="O8" s="2" t="n">
        <v>3</v>
      </c>
    </row>
    <row r="9" customFormat="false" ht="15" hidden="false" customHeight="false" outlineLevel="0" collapsed="false">
      <c r="A9" s="2" t="s">
        <v>51</v>
      </c>
      <c r="B9" s="3" t="n">
        <v>46208</v>
      </c>
      <c r="C9" s="2" t="s">
        <v>16</v>
      </c>
      <c r="D9" s="2" t="s">
        <v>37</v>
      </c>
      <c r="E9" s="2" t="s">
        <v>52</v>
      </c>
      <c r="F9" s="2" t="s">
        <v>19</v>
      </c>
      <c r="G9" s="2" t="s">
        <v>29</v>
      </c>
      <c r="H9" s="4" t="n">
        <v>220</v>
      </c>
      <c r="I9" s="5" t="n">
        <v>4</v>
      </c>
      <c r="J9" s="6" t="n">
        <v>0.05</v>
      </c>
      <c r="K9" s="7" t="n">
        <f aca="false">H9*I9*(1-J9)</f>
        <v>836</v>
      </c>
      <c r="L9" s="2" t="s">
        <v>21</v>
      </c>
      <c r="M9" s="2" t="s">
        <v>35</v>
      </c>
      <c r="N9" s="2" t="s">
        <v>49</v>
      </c>
      <c r="O9" s="2" t="n">
        <v>4</v>
      </c>
    </row>
    <row r="10" customFormat="false" ht="15" hidden="false" customHeight="false" outlineLevel="0" collapsed="false">
      <c r="A10" s="2" t="s">
        <v>53</v>
      </c>
      <c r="B10" s="3" t="n">
        <v>46208</v>
      </c>
      <c r="C10" s="2" t="s">
        <v>32</v>
      </c>
      <c r="D10" s="2" t="s">
        <v>54</v>
      </c>
      <c r="E10" s="2" t="s">
        <v>45</v>
      </c>
      <c r="F10" s="2" t="s">
        <v>19</v>
      </c>
      <c r="G10" s="2" t="s">
        <v>29</v>
      </c>
      <c r="H10" s="4" t="n">
        <v>270</v>
      </c>
      <c r="I10" s="5" t="n">
        <v>5</v>
      </c>
      <c r="J10" s="6" t="n">
        <v>0.05</v>
      </c>
      <c r="K10" s="7" t="n">
        <f aca="false">H10*I10*(1-J10)</f>
        <v>1282.5</v>
      </c>
      <c r="L10" s="2" t="s">
        <v>55</v>
      </c>
      <c r="M10" s="2" t="s">
        <v>35</v>
      </c>
      <c r="N10" s="2" t="s">
        <v>23</v>
      </c>
      <c r="O10" s="2" t="n">
        <v>5</v>
      </c>
    </row>
    <row r="11" customFormat="false" ht="15" hidden="false" customHeight="false" outlineLevel="0" collapsed="false">
      <c r="A11" s="2" t="s">
        <v>56</v>
      </c>
      <c r="B11" s="3" t="n">
        <v>46209</v>
      </c>
      <c r="C11" s="2" t="s">
        <v>57</v>
      </c>
      <c r="D11" s="2" t="s">
        <v>58</v>
      </c>
      <c r="E11" s="2" t="s">
        <v>45</v>
      </c>
      <c r="F11" s="2" t="s">
        <v>19</v>
      </c>
      <c r="G11" s="2" t="s">
        <v>29</v>
      </c>
      <c r="H11" s="4" t="n">
        <v>270</v>
      </c>
      <c r="I11" s="5" t="n">
        <v>1</v>
      </c>
      <c r="J11" s="6" t="n">
        <v>0.1</v>
      </c>
      <c r="K11" s="7" t="n">
        <f aca="false">H11*I11*(1-J11)</f>
        <v>243</v>
      </c>
      <c r="L11" s="2" t="s">
        <v>41</v>
      </c>
      <c r="M11" s="2" t="s">
        <v>30</v>
      </c>
      <c r="N11" s="2" t="s">
        <v>49</v>
      </c>
      <c r="O11" s="2" t="n">
        <v>5</v>
      </c>
    </row>
    <row r="12" customFormat="false" ht="15" hidden="false" customHeight="false" outlineLevel="0" collapsed="false">
      <c r="A12" s="2" t="s">
        <v>59</v>
      </c>
      <c r="B12" s="3" t="n">
        <v>46210</v>
      </c>
      <c r="C12" s="2" t="s">
        <v>25</v>
      </c>
      <c r="D12" s="2" t="s">
        <v>60</v>
      </c>
      <c r="E12" s="2" t="s">
        <v>48</v>
      </c>
      <c r="F12" s="2" t="s">
        <v>39</v>
      </c>
      <c r="G12" s="2" t="s">
        <v>40</v>
      </c>
      <c r="H12" s="4" t="n">
        <v>240</v>
      </c>
      <c r="I12" s="5" t="n">
        <v>1</v>
      </c>
      <c r="J12" s="6" t="n">
        <v>0</v>
      </c>
      <c r="K12" s="7" t="n">
        <f aca="false">H12*I12*(1-J12)</f>
        <v>240</v>
      </c>
      <c r="L12" s="2" t="s">
        <v>55</v>
      </c>
      <c r="M12" s="2" t="s">
        <v>35</v>
      </c>
      <c r="N12" s="2" t="s">
        <v>23</v>
      </c>
      <c r="O12" s="2" t="n">
        <v>3</v>
      </c>
    </row>
    <row r="13" customFormat="false" ht="15" hidden="false" customHeight="false" outlineLevel="0" collapsed="false">
      <c r="A13" s="2" t="s">
        <v>61</v>
      </c>
      <c r="B13" s="3" t="n">
        <v>46210</v>
      </c>
      <c r="C13" s="2" t="s">
        <v>32</v>
      </c>
      <c r="D13" s="2" t="s">
        <v>33</v>
      </c>
      <c r="E13" s="2" t="s">
        <v>52</v>
      </c>
      <c r="F13" s="2" t="s">
        <v>19</v>
      </c>
      <c r="G13" s="2" t="s">
        <v>20</v>
      </c>
      <c r="H13" s="4" t="n">
        <v>250</v>
      </c>
      <c r="I13" s="5" t="n">
        <v>1</v>
      </c>
      <c r="J13" s="6" t="n">
        <v>0.1</v>
      </c>
      <c r="K13" s="7" t="n">
        <f aca="false">H13*I13*(1-J13)</f>
        <v>225</v>
      </c>
      <c r="L13" s="2" t="s">
        <v>55</v>
      </c>
      <c r="M13" s="2" t="s">
        <v>30</v>
      </c>
      <c r="N13" s="2" t="s">
        <v>62</v>
      </c>
      <c r="O13" s="2" t="n">
        <v>4</v>
      </c>
    </row>
    <row r="14" customFormat="false" ht="15" hidden="false" customHeight="false" outlineLevel="0" collapsed="false">
      <c r="A14" s="2" t="s">
        <v>63</v>
      </c>
      <c r="B14" s="3" t="n">
        <v>46210</v>
      </c>
      <c r="C14" s="2" t="s">
        <v>32</v>
      </c>
      <c r="D14" s="2" t="s">
        <v>33</v>
      </c>
      <c r="E14" s="2" t="s">
        <v>38</v>
      </c>
      <c r="F14" s="2" t="s">
        <v>39</v>
      </c>
      <c r="G14" s="2" t="s">
        <v>40</v>
      </c>
      <c r="H14" s="4" t="n">
        <v>180</v>
      </c>
      <c r="I14" s="5" t="n">
        <v>1</v>
      </c>
      <c r="J14" s="6" t="n">
        <v>0</v>
      </c>
      <c r="K14" s="7" t="n">
        <f aca="false">H14*I14*(1-J14)</f>
        <v>180</v>
      </c>
      <c r="L14" s="2" t="s">
        <v>21</v>
      </c>
      <c r="M14" s="2" t="s">
        <v>22</v>
      </c>
      <c r="N14" s="2" t="s">
        <v>49</v>
      </c>
      <c r="O14" s="2" t="n">
        <v>2</v>
      </c>
    </row>
    <row r="15" customFormat="false" ht="15" hidden="false" customHeight="false" outlineLevel="0" collapsed="false">
      <c r="A15" s="2" t="s">
        <v>64</v>
      </c>
      <c r="B15" s="3" t="n">
        <v>46213</v>
      </c>
      <c r="C15" s="2" t="s">
        <v>43</v>
      </c>
      <c r="D15" s="2" t="s">
        <v>44</v>
      </c>
      <c r="E15" s="2" t="s">
        <v>65</v>
      </c>
      <c r="F15" s="2" t="s">
        <v>28</v>
      </c>
      <c r="G15" s="2" t="s">
        <v>20</v>
      </c>
      <c r="H15" s="4" t="n">
        <v>380</v>
      </c>
      <c r="I15" s="5" t="n">
        <v>1</v>
      </c>
      <c r="J15" s="6" t="n">
        <v>0.05</v>
      </c>
      <c r="K15" s="7" t="n">
        <f aca="false">H15*I15*(1-J15)</f>
        <v>361</v>
      </c>
      <c r="L15" s="2" t="s">
        <v>21</v>
      </c>
      <c r="M15" s="2" t="s">
        <v>35</v>
      </c>
      <c r="N15" s="2" t="s">
        <v>62</v>
      </c>
      <c r="O15" s="2" t="n">
        <v>5</v>
      </c>
    </row>
    <row r="16" customFormat="false" ht="15" hidden="false" customHeight="false" outlineLevel="0" collapsed="false">
      <c r="A16" s="2" t="s">
        <v>66</v>
      </c>
      <c r="B16" s="3" t="n">
        <v>46213</v>
      </c>
      <c r="C16" s="2" t="s">
        <v>43</v>
      </c>
      <c r="D16" s="2" t="s">
        <v>44</v>
      </c>
      <c r="E16" s="2" t="s">
        <v>38</v>
      </c>
      <c r="F16" s="2" t="s">
        <v>39</v>
      </c>
      <c r="G16" s="2" t="s">
        <v>40</v>
      </c>
      <c r="H16" s="4" t="n">
        <v>180</v>
      </c>
      <c r="I16" s="5" t="n">
        <v>2</v>
      </c>
      <c r="J16" s="6" t="n">
        <v>0.1</v>
      </c>
      <c r="K16" s="7" t="n">
        <f aca="false">H16*I16*(1-J16)</f>
        <v>324</v>
      </c>
      <c r="L16" s="2" t="s">
        <v>21</v>
      </c>
      <c r="M16" s="2" t="s">
        <v>30</v>
      </c>
      <c r="N16" s="2" t="s">
        <v>23</v>
      </c>
      <c r="O16" s="2" t="n">
        <v>4</v>
      </c>
    </row>
    <row r="17" customFormat="false" ht="15" hidden="false" customHeight="false" outlineLevel="0" collapsed="false">
      <c r="A17" s="2" t="s">
        <v>67</v>
      </c>
      <c r="B17" s="3" t="n">
        <v>46214</v>
      </c>
      <c r="C17" s="2" t="s">
        <v>43</v>
      </c>
      <c r="D17" s="2" t="s">
        <v>44</v>
      </c>
      <c r="E17" s="2" t="s">
        <v>27</v>
      </c>
      <c r="F17" s="2" t="s">
        <v>28</v>
      </c>
      <c r="G17" s="2" t="s">
        <v>29</v>
      </c>
      <c r="H17" s="4" t="n">
        <v>300</v>
      </c>
      <c r="I17" s="5" t="n">
        <v>3</v>
      </c>
      <c r="J17" s="6" t="n">
        <v>0</v>
      </c>
      <c r="K17" s="7" t="n">
        <f aca="false">H17*I17*(1-J17)</f>
        <v>900</v>
      </c>
      <c r="L17" s="2" t="s">
        <v>46</v>
      </c>
      <c r="M17" s="2" t="s">
        <v>30</v>
      </c>
      <c r="N17" s="2" t="s">
        <v>62</v>
      </c>
      <c r="O17" s="2" t="n">
        <v>3</v>
      </c>
    </row>
    <row r="18" customFormat="false" ht="15" hidden="false" customHeight="false" outlineLevel="0" collapsed="false">
      <c r="A18" s="2" t="s">
        <v>68</v>
      </c>
      <c r="B18" s="3" t="n">
        <v>46214</v>
      </c>
      <c r="C18" s="2" t="s">
        <v>32</v>
      </c>
      <c r="D18" s="2" t="s">
        <v>54</v>
      </c>
      <c r="E18" s="2" t="s">
        <v>69</v>
      </c>
      <c r="F18" s="2" t="s">
        <v>70</v>
      </c>
      <c r="G18" s="2" t="s">
        <v>29</v>
      </c>
      <c r="H18" s="4" t="n">
        <v>200</v>
      </c>
      <c r="I18" s="5" t="n">
        <v>4</v>
      </c>
      <c r="J18" s="6" t="n">
        <v>0</v>
      </c>
      <c r="K18" s="7" t="n">
        <f aca="false">H18*I18*(1-J18)</f>
        <v>800</v>
      </c>
      <c r="L18" s="2" t="s">
        <v>55</v>
      </c>
      <c r="M18" s="2" t="s">
        <v>22</v>
      </c>
      <c r="N18" s="2" t="s">
        <v>49</v>
      </c>
      <c r="O18" s="2" t="n">
        <v>5</v>
      </c>
    </row>
    <row r="19" customFormat="false" ht="15" hidden="false" customHeight="false" outlineLevel="0" collapsed="false">
      <c r="A19" s="2" t="s">
        <v>71</v>
      </c>
      <c r="B19" s="3" t="n">
        <v>46215</v>
      </c>
      <c r="C19" s="2" t="s">
        <v>32</v>
      </c>
      <c r="D19" s="2" t="s">
        <v>33</v>
      </c>
      <c r="E19" s="2" t="s">
        <v>38</v>
      </c>
      <c r="F19" s="2" t="s">
        <v>39</v>
      </c>
      <c r="G19" s="2" t="s">
        <v>40</v>
      </c>
      <c r="H19" s="4" t="n">
        <v>180</v>
      </c>
      <c r="I19" s="5" t="n">
        <v>1</v>
      </c>
      <c r="J19" s="6" t="n">
        <v>0.2</v>
      </c>
      <c r="K19" s="7" t="n">
        <f aca="false">H19*I19*(1-J19)</f>
        <v>144</v>
      </c>
      <c r="L19" s="2" t="s">
        <v>55</v>
      </c>
      <c r="M19" s="2" t="s">
        <v>30</v>
      </c>
      <c r="N19" s="2" t="s">
        <v>23</v>
      </c>
      <c r="O19" s="2" t="n">
        <v>5</v>
      </c>
    </row>
    <row r="20" customFormat="false" ht="15" hidden="false" customHeight="false" outlineLevel="0" collapsed="false">
      <c r="A20" s="2" t="s">
        <v>72</v>
      </c>
      <c r="B20" s="3" t="n">
        <v>46216</v>
      </c>
      <c r="C20" s="2" t="s">
        <v>16</v>
      </c>
      <c r="D20" s="2" t="s">
        <v>37</v>
      </c>
      <c r="E20" s="2" t="s">
        <v>45</v>
      </c>
      <c r="F20" s="2" t="s">
        <v>19</v>
      </c>
      <c r="G20" s="2" t="s">
        <v>29</v>
      </c>
      <c r="H20" s="4" t="n">
        <v>270</v>
      </c>
      <c r="I20" s="5" t="n">
        <v>1</v>
      </c>
      <c r="J20" s="6" t="n">
        <v>0</v>
      </c>
      <c r="K20" s="7" t="n">
        <f aca="false">H20*I20*(1-J20)</f>
        <v>270</v>
      </c>
      <c r="L20" s="2" t="s">
        <v>21</v>
      </c>
      <c r="M20" s="2" t="s">
        <v>30</v>
      </c>
      <c r="N20" s="2" t="s">
        <v>62</v>
      </c>
      <c r="O20" s="2" t="n">
        <v>4</v>
      </c>
    </row>
    <row r="21" customFormat="false" ht="15" hidden="false" customHeight="false" outlineLevel="0" collapsed="false">
      <c r="A21" s="2" t="s">
        <v>73</v>
      </c>
      <c r="B21" s="3" t="n">
        <v>46216</v>
      </c>
      <c r="C21" s="2" t="s">
        <v>57</v>
      </c>
      <c r="D21" s="2" t="s">
        <v>74</v>
      </c>
      <c r="E21" s="2" t="s">
        <v>45</v>
      </c>
      <c r="F21" s="2" t="s">
        <v>19</v>
      </c>
      <c r="G21" s="2" t="s">
        <v>29</v>
      </c>
      <c r="H21" s="4" t="n">
        <v>270</v>
      </c>
      <c r="I21" s="5" t="n">
        <v>2</v>
      </c>
      <c r="J21" s="6" t="n">
        <v>0</v>
      </c>
      <c r="K21" s="7" t="n">
        <f aca="false">H21*I21*(1-J21)</f>
        <v>540</v>
      </c>
      <c r="L21" s="2" t="s">
        <v>46</v>
      </c>
      <c r="M21" s="2" t="s">
        <v>22</v>
      </c>
      <c r="N21" s="2" t="s">
        <v>23</v>
      </c>
      <c r="O21" s="2" t="n">
        <v>4</v>
      </c>
    </row>
    <row r="22" customFormat="false" ht="15" hidden="false" customHeight="false" outlineLevel="0" collapsed="false">
      <c r="A22" s="2" t="s">
        <v>75</v>
      </c>
      <c r="B22" s="3" t="n">
        <v>46216</v>
      </c>
      <c r="C22" s="2" t="s">
        <v>16</v>
      </c>
      <c r="D22" s="2" t="s">
        <v>37</v>
      </c>
      <c r="E22" s="2" t="s">
        <v>27</v>
      </c>
      <c r="F22" s="2" t="s">
        <v>28</v>
      </c>
      <c r="G22" s="2" t="s">
        <v>20</v>
      </c>
      <c r="H22" s="4" t="n">
        <v>330</v>
      </c>
      <c r="I22" s="5" t="n">
        <v>2</v>
      </c>
      <c r="J22" s="6" t="n">
        <v>0.1</v>
      </c>
      <c r="K22" s="7" t="n">
        <f aca="false">H22*I22*(1-J22)</f>
        <v>594</v>
      </c>
      <c r="L22" s="2" t="s">
        <v>41</v>
      </c>
      <c r="M22" s="2" t="s">
        <v>30</v>
      </c>
      <c r="N22" s="2" t="s">
        <v>62</v>
      </c>
      <c r="O22" s="2" t="n">
        <v>2</v>
      </c>
    </row>
    <row r="23" customFormat="false" ht="15" hidden="false" customHeight="false" outlineLevel="0" collapsed="false">
      <c r="A23" s="2" t="s">
        <v>76</v>
      </c>
      <c r="B23" s="3" t="n">
        <v>46217</v>
      </c>
      <c r="C23" s="2" t="s">
        <v>16</v>
      </c>
      <c r="D23" s="2" t="s">
        <v>37</v>
      </c>
      <c r="E23" s="2" t="s">
        <v>45</v>
      </c>
      <c r="F23" s="2" t="s">
        <v>19</v>
      </c>
      <c r="G23" s="2" t="s">
        <v>20</v>
      </c>
      <c r="H23" s="4" t="n">
        <v>300</v>
      </c>
      <c r="I23" s="5" t="n">
        <v>2</v>
      </c>
      <c r="J23" s="6" t="n">
        <v>0</v>
      </c>
      <c r="K23" s="7" t="n">
        <f aca="false">H23*I23*(1-J23)</f>
        <v>600</v>
      </c>
      <c r="L23" s="2" t="s">
        <v>46</v>
      </c>
      <c r="M23" s="2" t="s">
        <v>22</v>
      </c>
      <c r="N23" s="2" t="s">
        <v>49</v>
      </c>
      <c r="O23" s="2" t="n">
        <v>4</v>
      </c>
    </row>
    <row r="24" customFormat="false" ht="15" hidden="false" customHeight="false" outlineLevel="0" collapsed="false">
      <c r="A24" s="2" t="s">
        <v>77</v>
      </c>
      <c r="B24" s="3" t="n">
        <v>46221</v>
      </c>
      <c r="C24" s="2" t="s">
        <v>25</v>
      </c>
      <c r="D24" s="2" t="s">
        <v>26</v>
      </c>
      <c r="E24" s="2" t="s">
        <v>18</v>
      </c>
      <c r="F24" s="2" t="s">
        <v>19</v>
      </c>
      <c r="G24" s="2" t="s">
        <v>29</v>
      </c>
      <c r="H24" s="4" t="n">
        <v>250</v>
      </c>
      <c r="I24" s="5" t="n">
        <v>1</v>
      </c>
      <c r="J24" s="6" t="n">
        <v>0.05</v>
      </c>
      <c r="K24" s="7" t="n">
        <f aca="false">H24*I24*(1-J24)</f>
        <v>237.5</v>
      </c>
      <c r="L24" s="2" t="s">
        <v>21</v>
      </c>
      <c r="M24" s="2" t="s">
        <v>35</v>
      </c>
      <c r="N24" s="2" t="s">
        <v>23</v>
      </c>
      <c r="O24" s="2" t="n">
        <v>4</v>
      </c>
    </row>
    <row r="25" customFormat="false" ht="15" hidden="false" customHeight="false" outlineLevel="0" collapsed="false">
      <c r="A25" s="2" t="s">
        <v>78</v>
      </c>
      <c r="B25" s="3" t="n">
        <v>46221</v>
      </c>
      <c r="C25" s="2" t="s">
        <v>16</v>
      </c>
      <c r="D25" s="2" t="s">
        <v>37</v>
      </c>
      <c r="E25" s="2" t="s">
        <v>45</v>
      </c>
      <c r="F25" s="2" t="s">
        <v>19</v>
      </c>
      <c r="G25" s="2" t="s">
        <v>20</v>
      </c>
      <c r="H25" s="4" t="n">
        <v>300</v>
      </c>
      <c r="I25" s="5" t="n">
        <v>1</v>
      </c>
      <c r="J25" s="6" t="n">
        <v>0.2</v>
      </c>
      <c r="K25" s="7" t="n">
        <f aca="false">H25*I25*(1-J25)</f>
        <v>240</v>
      </c>
      <c r="L25" s="2" t="s">
        <v>21</v>
      </c>
      <c r="M25" s="2" t="s">
        <v>30</v>
      </c>
      <c r="N25" s="2" t="s">
        <v>23</v>
      </c>
      <c r="O25" s="2" t="n">
        <v>5</v>
      </c>
    </row>
    <row r="26" customFormat="false" ht="15" hidden="false" customHeight="false" outlineLevel="0" collapsed="false">
      <c r="A26" s="2" t="s">
        <v>79</v>
      </c>
      <c r="B26" s="3" t="n">
        <v>46222</v>
      </c>
      <c r="C26" s="2" t="s">
        <v>32</v>
      </c>
      <c r="D26" s="2" t="s">
        <v>33</v>
      </c>
      <c r="E26" s="2" t="s">
        <v>27</v>
      </c>
      <c r="F26" s="2" t="s">
        <v>28</v>
      </c>
      <c r="G26" s="2" t="s">
        <v>20</v>
      </c>
      <c r="H26" s="4" t="n">
        <v>330</v>
      </c>
      <c r="I26" s="5" t="n">
        <v>1</v>
      </c>
      <c r="J26" s="6" t="n">
        <v>0.15</v>
      </c>
      <c r="K26" s="7" t="n">
        <f aca="false">H26*I26*(1-J26)</f>
        <v>280.5</v>
      </c>
      <c r="L26" s="2" t="s">
        <v>41</v>
      </c>
      <c r="M26" s="2" t="s">
        <v>22</v>
      </c>
      <c r="N26" s="2" t="s">
        <v>49</v>
      </c>
      <c r="O26" s="2" t="n">
        <v>3</v>
      </c>
    </row>
    <row r="27" customFormat="false" ht="15" hidden="false" customHeight="false" outlineLevel="0" collapsed="false">
      <c r="A27" s="2" t="s">
        <v>80</v>
      </c>
      <c r="B27" s="3" t="n">
        <v>46223</v>
      </c>
      <c r="C27" s="2" t="s">
        <v>16</v>
      </c>
      <c r="D27" s="2" t="s">
        <v>37</v>
      </c>
      <c r="E27" s="2" t="s">
        <v>48</v>
      </c>
      <c r="F27" s="2" t="s">
        <v>39</v>
      </c>
      <c r="G27" s="2" t="s">
        <v>40</v>
      </c>
      <c r="H27" s="4" t="n">
        <v>240</v>
      </c>
      <c r="I27" s="5" t="n">
        <v>1</v>
      </c>
      <c r="J27" s="6" t="n">
        <v>0.15</v>
      </c>
      <c r="K27" s="7" t="n">
        <f aca="false">H27*I27*(1-J27)</f>
        <v>204</v>
      </c>
      <c r="L27" s="2" t="s">
        <v>55</v>
      </c>
      <c r="M27" s="2" t="s">
        <v>22</v>
      </c>
      <c r="N27" s="2" t="s">
        <v>49</v>
      </c>
      <c r="O27" s="2" t="n">
        <v>5</v>
      </c>
    </row>
    <row r="28" customFormat="false" ht="15" hidden="false" customHeight="false" outlineLevel="0" collapsed="false">
      <c r="A28" s="2" t="s">
        <v>81</v>
      </c>
      <c r="B28" s="3" t="n">
        <v>46225</v>
      </c>
      <c r="C28" s="2" t="s">
        <v>25</v>
      </c>
      <c r="D28" s="2" t="s">
        <v>60</v>
      </c>
      <c r="E28" s="2" t="s">
        <v>45</v>
      </c>
      <c r="F28" s="2" t="s">
        <v>19</v>
      </c>
      <c r="G28" s="2" t="s">
        <v>20</v>
      </c>
      <c r="H28" s="4" t="n">
        <v>300</v>
      </c>
      <c r="I28" s="5" t="n">
        <v>2</v>
      </c>
      <c r="J28" s="6" t="n">
        <v>0</v>
      </c>
      <c r="K28" s="7" t="n">
        <f aca="false">H28*I28*(1-J28)</f>
        <v>600</v>
      </c>
      <c r="L28" s="2" t="s">
        <v>46</v>
      </c>
      <c r="M28" s="2" t="s">
        <v>22</v>
      </c>
      <c r="N28" s="2" t="s">
        <v>23</v>
      </c>
      <c r="O28" s="2" t="n">
        <v>3</v>
      </c>
    </row>
    <row r="29" customFormat="false" ht="15" hidden="false" customHeight="false" outlineLevel="0" collapsed="false">
      <c r="A29" s="2" t="s">
        <v>82</v>
      </c>
      <c r="B29" s="3" t="n">
        <v>46226</v>
      </c>
      <c r="C29" s="2" t="s">
        <v>16</v>
      </c>
      <c r="D29" s="2" t="s">
        <v>17</v>
      </c>
      <c r="E29" s="2" t="s">
        <v>48</v>
      </c>
      <c r="F29" s="2" t="s">
        <v>39</v>
      </c>
      <c r="G29" s="2" t="s">
        <v>40</v>
      </c>
      <c r="H29" s="4" t="n">
        <v>240</v>
      </c>
      <c r="I29" s="5" t="n">
        <v>1</v>
      </c>
      <c r="J29" s="6" t="n">
        <v>0.2</v>
      </c>
      <c r="K29" s="7" t="n">
        <f aca="false">H29*I29*(1-J29)</f>
        <v>192</v>
      </c>
      <c r="L29" s="2" t="s">
        <v>55</v>
      </c>
      <c r="M29" s="2" t="s">
        <v>30</v>
      </c>
      <c r="N29" s="2" t="s">
        <v>23</v>
      </c>
      <c r="O29" s="2" t="n">
        <v>5</v>
      </c>
    </row>
    <row r="30" customFormat="false" ht="15" hidden="false" customHeight="false" outlineLevel="0" collapsed="false">
      <c r="A30" s="2" t="s">
        <v>83</v>
      </c>
      <c r="B30" s="3" t="n">
        <v>46226</v>
      </c>
      <c r="C30" s="2" t="s">
        <v>32</v>
      </c>
      <c r="D30" s="2" t="s">
        <v>54</v>
      </c>
      <c r="E30" s="2" t="s">
        <v>65</v>
      </c>
      <c r="F30" s="2" t="s">
        <v>28</v>
      </c>
      <c r="G30" s="2" t="s">
        <v>34</v>
      </c>
      <c r="H30" s="4" t="n">
        <v>410</v>
      </c>
      <c r="I30" s="5" t="n">
        <v>1</v>
      </c>
      <c r="J30" s="6" t="n">
        <v>0.05</v>
      </c>
      <c r="K30" s="7" t="n">
        <f aca="false">H30*I30*(1-J30)</f>
        <v>389.5</v>
      </c>
      <c r="L30" s="2" t="s">
        <v>55</v>
      </c>
      <c r="M30" s="2" t="s">
        <v>35</v>
      </c>
      <c r="N30" s="2" t="s">
        <v>62</v>
      </c>
      <c r="O30" s="2" t="n">
        <v>4</v>
      </c>
    </row>
    <row r="31" customFormat="false" ht="15" hidden="false" customHeight="false" outlineLevel="0" collapsed="false">
      <c r="A31" s="2" t="s">
        <v>84</v>
      </c>
      <c r="B31" s="3" t="n">
        <v>46232</v>
      </c>
      <c r="C31" s="2" t="s">
        <v>43</v>
      </c>
      <c r="D31" s="2" t="s">
        <v>85</v>
      </c>
      <c r="E31" s="2" t="s">
        <v>48</v>
      </c>
      <c r="F31" s="2" t="s">
        <v>39</v>
      </c>
      <c r="G31" s="2" t="s">
        <v>40</v>
      </c>
      <c r="H31" s="4" t="n">
        <v>240</v>
      </c>
      <c r="I31" s="5" t="n">
        <v>1</v>
      </c>
      <c r="J31" s="6" t="n">
        <v>0</v>
      </c>
      <c r="K31" s="7" t="n">
        <f aca="false">H31*I31*(1-J31)</f>
        <v>240</v>
      </c>
      <c r="L31" s="2" t="s">
        <v>21</v>
      </c>
      <c r="M31" s="2" t="s">
        <v>30</v>
      </c>
      <c r="N31" s="2" t="s">
        <v>49</v>
      </c>
      <c r="O31" s="2"/>
    </row>
    <row r="32" customFormat="false" ht="15" hidden="false" customHeight="false" outlineLevel="0" collapsed="false">
      <c r="A32" s="2" t="s">
        <v>86</v>
      </c>
      <c r="B32" s="3" t="n">
        <v>46232</v>
      </c>
      <c r="C32" s="2" t="s">
        <v>25</v>
      </c>
      <c r="D32" s="2" t="s">
        <v>26</v>
      </c>
      <c r="E32" s="2" t="s">
        <v>45</v>
      </c>
      <c r="F32" s="2" t="s">
        <v>19</v>
      </c>
      <c r="G32" s="2" t="s">
        <v>20</v>
      </c>
      <c r="H32" s="4" t="n">
        <v>300</v>
      </c>
      <c r="I32" s="5" t="n">
        <v>1</v>
      </c>
      <c r="J32" s="6" t="n">
        <v>0.1</v>
      </c>
      <c r="K32" s="7" t="n">
        <f aca="false">H32*I32*(1-J32)</f>
        <v>270</v>
      </c>
      <c r="L32" s="2" t="s">
        <v>46</v>
      </c>
      <c r="M32" s="2" t="s">
        <v>30</v>
      </c>
      <c r="N32" s="2" t="s">
        <v>62</v>
      </c>
      <c r="O32" s="2" t="n">
        <v>5</v>
      </c>
    </row>
    <row r="33" customFormat="false" ht="15" hidden="false" customHeight="false" outlineLevel="0" collapsed="false">
      <c r="A33" s="2" t="s">
        <v>87</v>
      </c>
      <c r="B33" s="3" t="n">
        <v>46232</v>
      </c>
      <c r="C33" s="2" t="s">
        <v>16</v>
      </c>
      <c r="D33" s="2" t="s">
        <v>17</v>
      </c>
      <c r="E33" s="2" t="s">
        <v>52</v>
      </c>
      <c r="F33" s="2" t="s">
        <v>19</v>
      </c>
      <c r="G33" s="2" t="s">
        <v>34</v>
      </c>
      <c r="H33" s="4" t="n">
        <v>280</v>
      </c>
      <c r="I33" s="5" t="n">
        <v>1</v>
      </c>
      <c r="J33" s="6" t="n">
        <v>0</v>
      </c>
      <c r="K33" s="7" t="n">
        <f aca="false">H33*I33*(1-J33)</f>
        <v>280</v>
      </c>
      <c r="L33" s="2" t="s">
        <v>21</v>
      </c>
      <c r="M33" s="2" t="s">
        <v>35</v>
      </c>
      <c r="N33" s="2" t="s">
        <v>49</v>
      </c>
      <c r="O33" s="2" t="n">
        <v>5</v>
      </c>
    </row>
    <row r="34" customFormat="false" ht="15" hidden="false" customHeight="false" outlineLevel="0" collapsed="false">
      <c r="A34" s="2" t="s">
        <v>88</v>
      </c>
      <c r="B34" s="3" t="n">
        <v>46233</v>
      </c>
      <c r="C34" s="2" t="s">
        <v>57</v>
      </c>
      <c r="D34" s="2" t="s">
        <v>74</v>
      </c>
      <c r="E34" s="2" t="s">
        <v>38</v>
      </c>
      <c r="F34" s="2" t="s">
        <v>39</v>
      </c>
      <c r="G34" s="2" t="s">
        <v>40</v>
      </c>
      <c r="H34" s="4" t="n">
        <v>180</v>
      </c>
      <c r="I34" s="5" t="n">
        <v>2</v>
      </c>
      <c r="J34" s="6" t="n">
        <v>0.2</v>
      </c>
      <c r="K34" s="7" t="n">
        <f aca="false">H34*I34*(1-J34)</f>
        <v>288</v>
      </c>
      <c r="L34" s="2" t="s">
        <v>55</v>
      </c>
      <c r="M34" s="2" t="s">
        <v>30</v>
      </c>
      <c r="N34" s="2" t="s">
        <v>49</v>
      </c>
      <c r="O34" s="2" t="n">
        <v>5</v>
      </c>
    </row>
    <row r="35" customFormat="false" ht="15" hidden="false" customHeight="false" outlineLevel="0" collapsed="false">
      <c r="A35" s="2" t="s">
        <v>89</v>
      </c>
      <c r="B35" s="3" t="n">
        <v>46234</v>
      </c>
      <c r="C35" s="2" t="s">
        <v>16</v>
      </c>
      <c r="D35" s="2" t="s">
        <v>37</v>
      </c>
      <c r="E35" s="2" t="s">
        <v>48</v>
      </c>
      <c r="F35" s="2" t="s">
        <v>39</v>
      </c>
      <c r="G35" s="2" t="s">
        <v>40</v>
      </c>
      <c r="H35" s="4" t="n">
        <v>240</v>
      </c>
      <c r="I35" s="5" t="n">
        <v>3</v>
      </c>
      <c r="J35" s="6" t="n">
        <v>0</v>
      </c>
      <c r="K35" s="7" t="n">
        <f aca="false">H35*I35*(1-J35)</f>
        <v>720</v>
      </c>
      <c r="L35" s="2" t="s">
        <v>21</v>
      </c>
      <c r="M35" s="2" t="s">
        <v>30</v>
      </c>
      <c r="N35" s="2" t="s">
        <v>62</v>
      </c>
      <c r="O35" s="2" t="n">
        <v>5</v>
      </c>
    </row>
    <row r="36" customFormat="false" ht="15" hidden="false" customHeight="false" outlineLevel="0" collapsed="false">
      <c r="A36" s="2" t="s">
        <v>90</v>
      </c>
      <c r="B36" s="3" t="n">
        <v>46235</v>
      </c>
      <c r="C36" s="2" t="s">
        <v>43</v>
      </c>
      <c r="D36" s="2" t="s">
        <v>85</v>
      </c>
      <c r="E36" s="2" t="s">
        <v>52</v>
      </c>
      <c r="F36" s="2" t="s">
        <v>19</v>
      </c>
      <c r="G36" s="2" t="s">
        <v>34</v>
      </c>
      <c r="H36" s="4" t="n">
        <v>280</v>
      </c>
      <c r="I36" s="5" t="n">
        <v>2</v>
      </c>
      <c r="J36" s="6" t="n">
        <v>0.05</v>
      </c>
      <c r="K36" s="7" t="n">
        <f aca="false">H36*I36*(1-J36)</f>
        <v>532</v>
      </c>
      <c r="L36" s="2" t="s">
        <v>21</v>
      </c>
      <c r="M36" s="2" t="s">
        <v>35</v>
      </c>
      <c r="N36" s="2" t="s">
        <v>49</v>
      </c>
      <c r="O36" s="2" t="n">
        <v>2</v>
      </c>
    </row>
    <row r="37" customFormat="false" ht="15" hidden="false" customHeight="false" outlineLevel="0" collapsed="false">
      <c r="A37" s="2" t="s">
        <v>91</v>
      </c>
      <c r="B37" s="3" t="n">
        <v>46235</v>
      </c>
      <c r="C37" s="2" t="s">
        <v>32</v>
      </c>
      <c r="D37" s="2" t="s">
        <v>54</v>
      </c>
      <c r="E37" s="2" t="s">
        <v>18</v>
      </c>
      <c r="F37" s="2" t="s">
        <v>19</v>
      </c>
      <c r="G37" s="2" t="s">
        <v>34</v>
      </c>
      <c r="H37" s="4" t="n">
        <v>310</v>
      </c>
      <c r="I37" s="5" t="n">
        <v>2</v>
      </c>
      <c r="J37" s="6" t="n">
        <v>0.05</v>
      </c>
      <c r="K37" s="7" t="n">
        <f aca="false">H37*I37*(1-J37)</f>
        <v>589</v>
      </c>
      <c r="L37" s="2" t="s">
        <v>46</v>
      </c>
      <c r="M37" s="2" t="s">
        <v>35</v>
      </c>
      <c r="N37" s="2" t="s">
        <v>49</v>
      </c>
      <c r="O37" s="2" t="n">
        <v>4</v>
      </c>
    </row>
    <row r="38" customFormat="false" ht="15" hidden="false" customHeight="false" outlineLevel="0" collapsed="false">
      <c r="A38" s="2" t="s">
        <v>92</v>
      </c>
      <c r="B38" s="3" t="n">
        <v>46235</v>
      </c>
      <c r="C38" s="2" t="s">
        <v>16</v>
      </c>
      <c r="D38" s="2" t="s">
        <v>37</v>
      </c>
      <c r="E38" s="2" t="s">
        <v>45</v>
      </c>
      <c r="F38" s="2" t="s">
        <v>19</v>
      </c>
      <c r="G38" s="2" t="s">
        <v>20</v>
      </c>
      <c r="H38" s="4" t="n">
        <v>300</v>
      </c>
      <c r="I38" s="5" t="n">
        <v>2</v>
      </c>
      <c r="J38" s="6" t="n">
        <v>0</v>
      </c>
      <c r="K38" s="7" t="n">
        <f aca="false">H38*I38*(1-J38)</f>
        <v>600</v>
      </c>
      <c r="L38" s="2" t="s">
        <v>21</v>
      </c>
      <c r="M38" s="2" t="s">
        <v>22</v>
      </c>
      <c r="N38" s="2" t="s">
        <v>23</v>
      </c>
      <c r="O38" s="2" t="n">
        <v>4</v>
      </c>
    </row>
    <row r="39" customFormat="false" ht="15" hidden="false" customHeight="false" outlineLevel="0" collapsed="false">
      <c r="A39" s="2" t="s">
        <v>93</v>
      </c>
      <c r="B39" s="3" t="n">
        <v>46235</v>
      </c>
      <c r="C39" s="2" t="s">
        <v>43</v>
      </c>
      <c r="D39" s="2" t="s">
        <v>85</v>
      </c>
      <c r="E39" s="2" t="s">
        <v>18</v>
      </c>
      <c r="F39" s="2" t="s">
        <v>19</v>
      </c>
      <c r="G39" s="2" t="s">
        <v>29</v>
      </c>
      <c r="H39" s="4" t="n">
        <v>250</v>
      </c>
      <c r="I39" s="5" t="n">
        <v>1</v>
      </c>
      <c r="J39" s="6" t="n">
        <v>0.2</v>
      </c>
      <c r="K39" s="7" t="n">
        <f aca="false">H39*I39*(1-J39)</f>
        <v>200</v>
      </c>
      <c r="L39" s="2" t="s">
        <v>41</v>
      </c>
      <c r="M39" s="2" t="s">
        <v>30</v>
      </c>
      <c r="N39" s="2" t="s">
        <v>23</v>
      </c>
      <c r="O39" s="2" t="n">
        <v>4</v>
      </c>
    </row>
    <row r="40" customFormat="false" ht="15" hidden="false" customHeight="false" outlineLevel="0" collapsed="false">
      <c r="A40" s="2" t="s">
        <v>94</v>
      </c>
      <c r="B40" s="3" t="n">
        <v>46237</v>
      </c>
      <c r="C40" s="2" t="s">
        <v>32</v>
      </c>
      <c r="D40" s="2" t="s">
        <v>33</v>
      </c>
      <c r="E40" s="2" t="s">
        <v>69</v>
      </c>
      <c r="F40" s="2" t="s">
        <v>70</v>
      </c>
      <c r="G40" s="2" t="s">
        <v>20</v>
      </c>
      <c r="H40" s="4" t="n">
        <v>230</v>
      </c>
      <c r="I40" s="5" t="n">
        <v>3</v>
      </c>
      <c r="J40" s="6" t="n">
        <v>0.2</v>
      </c>
      <c r="K40" s="7" t="n">
        <f aca="false">H40*I40*(1-J40)</f>
        <v>552</v>
      </c>
      <c r="L40" s="2" t="s">
        <v>21</v>
      </c>
      <c r="M40" s="2" t="s">
        <v>30</v>
      </c>
      <c r="N40" s="2" t="s">
        <v>23</v>
      </c>
      <c r="O40" s="2" t="n">
        <v>5</v>
      </c>
    </row>
    <row r="41" customFormat="false" ht="15" hidden="false" customHeight="false" outlineLevel="0" collapsed="false">
      <c r="A41" s="2" t="s">
        <v>95</v>
      </c>
      <c r="B41" s="3" t="n">
        <v>46239</v>
      </c>
      <c r="C41" s="2" t="s">
        <v>16</v>
      </c>
      <c r="D41" s="2" t="s">
        <v>37</v>
      </c>
      <c r="E41" s="2" t="s">
        <v>48</v>
      </c>
      <c r="F41" s="2" t="s">
        <v>39</v>
      </c>
      <c r="G41" s="2" t="s">
        <v>40</v>
      </c>
      <c r="H41" s="4" t="n">
        <v>240</v>
      </c>
      <c r="I41" s="5" t="n">
        <v>1</v>
      </c>
      <c r="J41" s="6" t="n">
        <v>0</v>
      </c>
      <c r="K41" s="7" t="n">
        <f aca="false">H41*I41*(1-J41)</f>
        <v>240</v>
      </c>
      <c r="L41" s="2" t="s">
        <v>46</v>
      </c>
      <c r="M41" s="2" t="s">
        <v>35</v>
      </c>
      <c r="N41" s="2" t="s">
        <v>62</v>
      </c>
      <c r="O41" s="2" t="n">
        <v>4</v>
      </c>
    </row>
    <row r="42" customFormat="false" ht="15" hidden="false" customHeight="false" outlineLevel="0" collapsed="false">
      <c r="A42" s="2" t="s">
        <v>96</v>
      </c>
      <c r="B42" s="3" t="n">
        <v>46239</v>
      </c>
      <c r="C42" s="2" t="s">
        <v>25</v>
      </c>
      <c r="D42" s="2" t="s">
        <v>26</v>
      </c>
      <c r="E42" s="2" t="s">
        <v>27</v>
      </c>
      <c r="F42" s="2" t="s">
        <v>28</v>
      </c>
      <c r="G42" s="2" t="s">
        <v>29</v>
      </c>
      <c r="H42" s="4" t="n">
        <v>300</v>
      </c>
      <c r="I42" s="5" t="n">
        <v>1</v>
      </c>
      <c r="J42" s="6" t="n">
        <v>0.05</v>
      </c>
      <c r="K42" s="7" t="n">
        <f aca="false">H42*I42*(1-J42)</f>
        <v>285</v>
      </c>
      <c r="L42" s="2" t="s">
        <v>55</v>
      </c>
      <c r="M42" s="2" t="s">
        <v>35</v>
      </c>
      <c r="N42" s="2" t="s">
        <v>49</v>
      </c>
      <c r="O42" s="2" t="n">
        <v>5</v>
      </c>
    </row>
    <row r="43" customFormat="false" ht="15" hidden="false" customHeight="false" outlineLevel="0" collapsed="false">
      <c r="A43" s="2" t="s">
        <v>97</v>
      </c>
      <c r="B43" s="3" t="n">
        <v>46239</v>
      </c>
      <c r="C43" s="2" t="s">
        <v>43</v>
      </c>
      <c r="D43" s="2" t="s">
        <v>44</v>
      </c>
      <c r="E43" s="2" t="s">
        <v>38</v>
      </c>
      <c r="F43" s="2" t="s">
        <v>39</v>
      </c>
      <c r="G43" s="2" t="s">
        <v>40</v>
      </c>
      <c r="H43" s="4" t="n">
        <v>180</v>
      </c>
      <c r="I43" s="5" t="n">
        <v>3</v>
      </c>
      <c r="J43" s="6" t="n">
        <v>0.2</v>
      </c>
      <c r="K43" s="7" t="n">
        <f aca="false">H43*I43*(1-J43)</f>
        <v>432</v>
      </c>
      <c r="L43" s="2" t="s">
        <v>46</v>
      </c>
      <c r="M43" s="2" t="s">
        <v>30</v>
      </c>
      <c r="N43" s="2" t="s">
        <v>62</v>
      </c>
      <c r="O43" s="2" t="n">
        <v>5</v>
      </c>
    </row>
    <row r="44" customFormat="false" ht="15" hidden="false" customHeight="false" outlineLevel="0" collapsed="false">
      <c r="A44" s="2" t="s">
        <v>98</v>
      </c>
      <c r="B44" s="3" t="n">
        <v>46244</v>
      </c>
      <c r="C44" s="2" t="s">
        <v>32</v>
      </c>
      <c r="D44" s="2" t="s">
        <v>54</v>
      </c>
      <c r="E44" s="2" t="s">
        <v>48</v>
      </c>
      <c r="F44" s="2" t="s">
        <v>39</v>
      </c>
      <c r="G44" s="2" t="s">
        <v>40</v>
      </c>
      <c r="H44" s="4" t="n">
        <v>240</v>
      </c>
      <c r="I44" s="5" t="n">
        <v>1</v>
      </c>
      <c r="J44" s="6" t="n">
        <v>0</v>
      </c>
      <c r="K44" s="7" t="n">
        <f aca="false">H44*I44*(1-J44)</f>
        <v>240</v>
      </c>
      <c r="L44" s="2" t="s">
        <v>21</v>
      </c>
      <c r="M44" s="2" t="s">
        <v>30</v>
      </c>
      <c r="N44" s="2" t="s">
        <v>49</v>
      </c>
      <c r="O44" s="2" t="n">
        <v>1</v>
      </c>
    </row>
    <row r="45" customFormat="false" ht="15" hidden="false" customHeight="false" outlineLevel="0" collapsed="false">
      <c r="A45" s="2" t="s">
        <v>99</v>
      </c>
      <c r="B45" s="3" t="n">
        <v>46244</v>
      </c>
      <c r="C45" s="2" t="s">
        <v>25</v>
      </c>
      <c r="D45" s="2" t="s">
        <v>60</v>
      </c>
      <c r="E45" s="2" t="s">
        <v>18</v>
      </c>
      <c r="F45" s="2" t="s">
        <v>19</v>
      </c>
      <c r="G45" s="2" t="s">
        <v>34</v>
      </c>
      <c r="H45" s="4" t="n">
        <v>310</v>
      </c>
      <c r="I45" s="5" t="n">
        <v>2</v>
      </c>
      <c r="J45" s="6" t="n">
        <v>0.1</v>
      </c>
      <c r="K45" s="7" t="n">
        <f aca="false">H45*I45*(1-J45)</f>
        <v>558</v>
      </c>
      <c r="L45" s="2" t="s">
        <v>21</v>
      </c>
      <c r="M45" s="2" t="s">
        <v>30</v>
      </c>
      <c r="N45" s="2" t="s">
        <v>23</v>
      </c>
      <c r="O45" s="2" t="n">
        <v>3</v>
      </c>
    </row>
    <row r="46" customFormat="false" ht="15" hidden="false" customHeight="false" outlineLevel="0" collapsed="false">
      <c r="A46" s="2" t="s">
        <v>100</v>
      </c>
      <c r="B46" s="3" t="n">
        <v>46244</v>
      </c>
      <c r="C46" s="2" t="s">
        <v>57</v>
      </c>
      <c r="D46" s="2" t="s">
        <v>58</v>
      </c>
      <c r="E46" s="2" t="s">
        <v>18</v>
      </c>
      <c r="F46" s="2" t="s">
        <v>19</v>
      </c>
      <c r="G46" s="2" t="s">
        <v>29</v>
      </c>
      <c r="H46" s="4" t="n">
        <v>250</v>
      </c>
      <c r="I46" s="5" t="n">
        <v>1</v>
      </c>
      <c r="J46" s="6" t="n">
        <v>0</v>
      </c>
      <c r="K46" s="7" t="n">
        <f aca="false">H46*I46*(1-J46)</f>
        <v>250</v>
      </c>
      <c r="L46" s="2" t="s">
        <v>21</v>
      </c>
      <c r="M46" s="2" t="s">
        <v>22</v>
      </c>
      <c r="N46" s="2" t="s">
        <v>23</v>
      </c>
      <c r="O46" s="2" t="n">
        <v>4</v>
      </c>
    </row>
    <row r="47" customFormat="false" ht="15" hidden="false" customHeight="false" outlineLevel="0" collapsed="false">
      <c r="A47" s="2" t="s">
        <v>101</v>
      </c>
      <c r="B47" s="3" t="n">
        <v>46245</v>
      </c>
      <c r="C47" s="2" t="s">
        <v>16</v>
      </c>
      <c r="D47" s="2" t="s">
        <v>37</v>
      </c>
      <c r="E47" s="2" t="s">
        <v>48</v>
      </c>
      <c r="F47" s="2" t="s">
        <v>39</v>
      </c>
      <c r="G47" s="2" t="s">
        <v>40</v>
      </c>
      <c r="H47" s="4" t="n">
        <v>240</v>
      </c>
      <c r="I47" s="5" t="n">
        <v>1</v>
      </c>
      <c r="J47" s="6" t="n">
        <v>0</v>
      </c>
      <c r="K47" s="7" t="n">
        <f aca="false">H47*I47*(1-J47)</f>
        <v>240</v>
      </c>
      <c r="L47" s="2" t="s">
        <v>21</v>
      </c>
      <c r="M47" s="2" t="s">
        <v>35</v>
      </c>
      <c r="N47" s="2" t="s">
        <v>49</v>
      </c>
      <c r="O47" s="2" t="n">
        <v>5</v>
      </c>
    </row>
    <row r="48" customFormat="false" ht="15" hidden="false" customHeight="false" outlineLevel="0" collapsed="false">
      <c r="A48" s="2" t="s">
        <v>102</v>
      </c>
      <c r="B48" s="3" t="n">
        <v>46248</v>
      </c>
      <c r="C48" s="2" t="s">
        <v>25</v>
      </c>
      <c r="D48" s="2" t="s">
        <v>60</v>
      </c>
      <c r="E48" s="2" t="s">
        <v>38</v>
      </c>
      <c r="F48" s="2" t="s">
        <v>39</v>
      </c>
      <c r="G48" s="2" t="s">
        <v>40</v>
      </c>
      <c r="H48" s="4" t="n">
        <v>180</v>
      </c>
      <c r="I48" s="5" t="n">
        <v>2</v>
      </c>
      <c r="J48" s="6" t="n">
        <v>0</v>
      </c>
      <c r="K48" s="7" t="n">
        <f aca="false">H48*I48*(1-J48)</f>
        <v>360</v>
      </c>
      <c r="L48" s="2" t="s">
        <v>21</v>
      </c>
      <c r="M48" s="2" t="s">
        <v>35</v>
      </c>
      <c r="N48" s="2" t="s">
        <v>23</v>
      </c>
      <c r="O48" s="2" t="n">
        <v>5</v>
      </c>
    </row>
    <row r="49" customFormat="false" ht="15" hidden="false" customHeight="false" outlineLevel="0" collapsed="false">
      <c r="A49" s="2" t="s">
        <v>103</v>
      </c>
      <c r="B49" s="3" t="n">
        <v>46250</v>
      </c>
      <c r="C49" s="2" t="s">
        <v>25</v>
      </c>
      <c r="D49" s="2" t="s">
        <v>26</v>
      </c>
      <c r="E49" s="2" t="s">
        <v>69</v>
      </c>
      <c r="F49" s="2" t="s">
        <v>70</v>
      </c>
      <c r="G49" s="2" t="s">
        <v>29</v>
      </c>
      <c r="H49" s="4" t="n">
        <v>200</v>
      </c>
      <c r="I49" s="5" t="n">
        <v>1</v>
      </c>
      <c r="J49" s="6" t="n">
        <v>0</v>
      </c>
      <c r="K49" s="7" t="n">
        <f aca="false">H49*I49*(1-J49)</f>
        <v>200</v>
      </c>
      <c r="L49" s="2" t="s">
        <v>41</v>
      </c>
      <c r="M49" s="2" t="s">
        <v>35</v>
      </c>
      <c r="N49" s="2" t="s">
        <v>62</v>
      </c>
      <c r="O49" s="2" t="n">
        <v>4</v>
      </c>
    </row>
    <row r="50" customFormat="false" ht="15" hidden="false" customHeight="false" outlineLevel="0" collapsed="false">
      <c r="A50" s="2" t="s">
        <v>104</v>
      </c>
      <c r="B50" s="3" t="n">
        <v>46251</v>
      </c>
      <c r="C50" s="2" t="s">
        <v>32</v>
      </c>
      <c r="D50" s="2" t="s">
        <v>54</v>
      </c>
      <c r="E50" s="2" t="s">
        <v>27</v>
      </c>
      <c r="F50" s="2" t="s">
        <v>28</v>
      </c>
      <c r="G50" s="2" t="s">
        <v>29</v>
      </c>
      <c r="H50" s="4" t="n">
        <v>300</v>
      </c>
      <c r="I50" s="5" t="n">
        <v>1</v>
      </c>
      <c r="J50" s="6" t="n">
        <v>0.05</v>
      </c>
      <c r="K50" s="7" t="n">
        <f aca="false">H50*I50*(1-J50)</f>
        <v>285</v>
      </c>
      <c r="L50" s="2" t="s">
        <v>46</v>
      </c>
      <c r="M50" s="2" t="s">
        <v>35</v>
      </c>
      <c r="N50" s="2" t="s">
        <v>49</v>
      </c>
      <c r="O50" s="2" t="n">
        <v>1</v>
      </c>
    </row>
    <row r="51" customFormat="false" ht="15" hidden="false" customHeight="false" outlineLevel="0" collapsed="false">
      <c r="A51" s="2" t="s">
        <v>105</v>
      </c>
      <c r="B51" s="3" t="n">
        <v>46251</v>
      </c>
      <c r="C51" s="2" t="s">
        <v>43</v>
      </c>
      <c r="D51" s="2" t="s">
        <v>85</v>
      </c>
      <c r="E51" s="2" t="s">
        <v>65</v>
      </c>
      <c r="F51" s="2" t="s">
        <v>28</v>
      </c>
      <c r="G51" s="2" t="s">
        <v>20</v>
      </c>
      <c r="H51" s="4" t="n">
        <v>380</v>
      </c>
      <c r="I51" s="5" t="n">
        <v>1</v>
      </c>
      <c r="J51" s="6" t="n">
        <v>0.1</v>
      </c>
      <c r="K51" s="7" t="n">
        <f aca="false">H51*I51*(1-J51)</f>
        <v>342</v>
      </c>
      <c r="L51" s="2" t="s">
        <v>21</v>
      </c>
      <c r="M51" s="2" t="s">
        <v>30</v>
      </c>
      <c r="N51" s="2" t="s">
        <v>23</v>
      </c>
      <c r="O51" s="2" t="n">
        <v>4</v>
      </c>
    </row>
    <row r="52" customFormat="false" ht="15" hidden="false" customHeight="false" outlineLevel="0" collapsed="false">
      <c r="A52" s="2" t="s">
        <v>106</v>
      </c>
      <c r="B52" s="3" t="n">
        <v>46252</v>
      </c>
      <c r="C52" s="2" t="s">
        <v>32</v>
      </c>
      <c r="D52" s="2" t="s">
        <v>33</v>
      </c>
      <c r="E52" s="2" t="s">
        <v>27</v>
      </c>
      <c r="F52" s="2" t="s">
        <v>28</v>
      </c>
      <c r="G52" s="2" t="s">
        <v>29</v>
      </c>
      <c r="H52" s="4" t="n">
        <v>300</v>
      </c>
      <c r="I52" s="5" t="n">
        <v>2</v>
      </c>
      <c r="J52" s="6" t="n">
        <v>0</v>
      </c>
      <c r="K52" s="7" t="n">
        <f aca="false">H52*I52*(1-J52)</f>
        <v>600</v>
      </c>
      <c r="L52" s="2" t="s">
        <v>21</v>
      </c>
      <c r="M52" s="2" t="s">
        <v>35</v>
      </c>
      <c r="N52" s="2" t="s">
        <v>62</v>
      </c>
      <c r="O52" s="2" t="n">
        <v>5</v>
      </c>
    </row>
    <row r="53" customFormat="false" ht="15" hidden="false" customHeight="false" outlineLevel="0" collapsed="false">
      <c r="A53" s="2" t="s">
        <v>107</v>
      </c>
      <c r="B53" s="3" t="n">
        <v>46252</v>
      </c>
      <c r="C53" s="2" t="s">
        <v>32</v>
      </c>
      <c r="D53" s="2" t="s">
        <v>54</v>
      </c>
      <c r="E53" s="2" t="s">
        <v>65</v>
      </c>
      <c r="F53" s="2" t="s">
        <v>28</v>
      </c>
      <c r="G53" s="2" t="s">
        <v>34</v>
      </c>
      <c r="H53" s="4" t="n">
        <v>410</v>
      </c>
      <c r="I53" s="5" t="n">
        <v>5</v>
      </c>
      <c r="J53" s="6" t="n">
        <v>0</v>
      </c>
      <c r="K53" s="7" t="n">
        <f aca="false">H53*I53*(1-J53)</f>
        <v>2050</v>
      </c>
      <c r="L53" s="2" t="s">
        <v>21</v>
      </c>
      <c r="M53" s="2" t="s">
        <v>35</v>
      </c>
      <c r="N53" s="2" t="s">
        <v>62</v>
      </c>
      <c r="O53" s="2" t="n">
        <v>4</v>
      </c>
    </row>
    <row r="54" customFormat="false" ht="15" hidden="false" customHeight="false" outlineLevel="0" collapsed="false">
      <c r="A54" s="2" t="s">
        <v>108</v>
      </c>
      <c r="B54" s="3" t="n">
        <v>46253</v>
      </c>
      <c r="C54" s="2" t="s">
        <v>16</v>
      </c>
      <c r="D54" s="2" t="s">
        <v>37</v>
      </c>
      <c r="E54" s="2" t="s">
        <v>18</v>
      </c>
      <c r="F54" s="2" t="s">
        <v>19</v>
      </c>
      <c r="G54" s="2" t="s">
        <v>29</v>
      </c>
      <c r="H54" s="4" t="n">
        <v>250</v>
      </c>
      <c r="I54" s="5" t="n">
        <v>1</v>
      </c>
      <c r="J54" s="6" t="n">
        <v>0.05</v>
      </c>
      <c r="K54" s="7" t="n">
        <f aca="false">H54*I54*(1-J54)</f>
        <v>237.5</v>
      </c>
      <c r="L54" s="2" t="s">
        <v>21</v>
      </c>
      <c r="M54" s="2" t="s">
        <v>35</v>
      </c>
      <c r="N54" s="2" t="s">
        <v>62</v>
      </c>
      <c r="O54" s="2" t="n">
        <v>5</v>
      </c>
    </row>
    <row r="55" customFormat="false" ht="15" hidden="false" customHeight="false" outlineLevel="0" collapsed="false">
      <c r="A55" s="2" t="s">
        <v>109</v>
      </c>
      <c r="B55" s="3" t="n">
        <v>46255</v>
      </c>
      <c r="C55" s="2" t="s">
        <v>57</v>
      </c>
      <c r="D55" s="2" t="s">
        <v>58</v>
      </c>
      <c r="E55" s="2" t="s">
        <v>45</v>
      </c>
      <c r="F55" s="2" t="s">
        <v>19</v>
      </c>
      <c r="G55" s="2" t="s">
        <v>29</v>
      </c>
      <c r="H55" s="4" t="n">
        <v>270</v>
      </c>
      <c r="I55" s="5" t="n">
        <v>1</v>
      </c>
      <c r="J55" s="6" t="n">
        <v>0.1</v>
      </c>
      <c r="K55" s="7" t="n">
        <f aca="false">H55*I55*(1-J55)</f>
        <v>243</v>
      </c>
      <c r="L55" s="2" t="s">
        <v>21</v>
      </c>
      <c r="M55" s="2" t="s">
        <v>30</v>
      </c>
      <c r="N55" s="2" t="s">
        <v>49</v>
      </c>
      <c r="O55" s="2" t="n">
        <v>5</v>
      </c>
    </row>
    <row r="56" customFormat="false" ht="15" hidden="false" customHeight="false" outlineLevel="0" collapsed="false">
      <c r="A56" s="2" t="s">
        <v>110</v>
      </c>
      <c r="B56" s="3" t="n">
        <v>46255</v>
      </c>
      <c r="C56" s="2" t="s">
        <v>57</v>
      </c>
      <c r="D56" s="2" t="s">
        <v>74</v>
      </c>
      <c r="E56" s="2" t="s">
        <v>27</v>
      </c>
      <c r="F56" s="2" t="s">
        <v>28</v>
      </c>
      <c r="G56" s="2" t="s">
        <v>20</v>
      </c>
      <c r="H56" s="4" t="n">
        <v>330</v>
      </c>
      <c r="I56" s="5" t="n">
        <v>1</v>
      </c>
      <c r="J56" s="6" t="n">
        <v>0</v>
      </c>
      <c r="K56" s="7" t="n">
        <f aca="false">H56*I56*(1-J56)</f>
        <v>330</v>
      </c>
      <c r="L56" s="2" t="s">
        <v>46</v>
      </c>
      <c r="M56" s="2" t="s">
        <v>22</v>
      </c>
      <c r="N56" s="2" t="s">
        <v>49</v>
      </c>
      <c r="O56" s="2" t="n">
        <v>1</v>
      </c>
    </row>
    <row r="57" customFormat="false" ht="15" hidden="false" customHeight="false" outlineLevel="0" collapsed="false">
      <c r="A57" s="2" t="s">
        <v>111</v>
      </c>
      <c r="B57" s="3" t="n">
        <v>46256</v>
      </c>
      <c r="C57" s="2" t="s">
        <v>16</v>
      </c>
      <c r="D57" s="2" t="s">
        <v>37</v>
      </c>
      <c r="E57" s="2" t="s">
        <v>38</v>
      </c>
      <c r="F57" s="2" t="s">
        <v>39</v>
      </c>
      <c r="G57" s="2" t="s">
        <v>40</v>
      </c>
      <c r="H57" s="4" t="n">
        <v>180</v>
      </c>
      <c r="I57" s="5" t="n">
        <v>3</v>
      </c>
      <c r="J57" s="6" t="n">
        <v>0.05</v>
      </c>
      <c r="K57" s="7" t="n">
        <f aca="false">H57*I57*(1-J57)</f>
        <v>513</v>
      </c>
      <c r="L57" s="2" t="s">
        <v>21</v>
      </c>
      <c r="M57" s="2" t="s">
        <v>35</v>
      </c>
      <c r="N57" s="2" t="s">
        <v>62</v>
      </c>
      <c r="O57" s="2" t="n">
        <v>5</v>
      </c>
    </row>
    <row r="58" customFormat="false" ht="15" hidden="false" customHeight="false" outlineLevel="0" collapsed="false">
      <c r="A58" s="2" t="s">
        <v>112</v>
      </c>
      <c r="B58" s="3" t="n">
        <v>46256</v>
      </c>
      <c r="C58" s="2" t="s">
        <v>32</v>
      </c>
      <c r="D58" s="2" t="s">
        <v>33</v>
      </c>
      <c r="E58" s="2" t="s">
        <v>65</v>
      </c>
      <c r="F58" s="2" t="s">
        <v>28</v>
      </c>
      <c r="G58" s="2" t="s">
        <v>34</v>
      </c>
      <c r="H58" s="4" t="n">
        <v>410</v>
      </c>
      <c r="I58" s="5" t="n">
        <v>1</v>
      </c>
      <c r="J58" s="6" t="n">
        <v>0.1</v>
      </c>
      <c r="K58" s="7" t="n">
        <f aca="false">H58*I58*(1-J58)</f>
        <v>369</v>
      </c>
      <c r="L58" s="2" t="s">
        <v>46</v>
      </c>
      <c r="M58" s="2" t="s">
        <v>30</v>
      </c>
      <c r="N58" s="2" t="s">
        <v>23</v>
      </c>
      <c r="O58" s="2" t="n">
        <v>5</v>
      </c>
    </row>
    <row r="59" customFormat="false" ht="15" hidden="false" customHeight="false" outlineLevel="0" collapsed="false">
      <c r="A59" s="2" t="s">
        <v>113</v>
      </c>
      <c r="B59" s="3" t="n">
        <v>46257</v>
      </c>
      <c r="C59" s="2" t="s">
        <v>25</v>
      </c>
      <c r="D59" s="2" t="s">
        <v>60</v>
      </c>
      <c r="E59" s="2" t="s">
        <v>52</v>
      </c>
      <c r="F59" s="2" t="s">
        <v>19</v>
      </c>
      <c r="G59" s="2" t="s">
        <v>20</v>
      </c>
      <c r="H59" s="4" t="n">
        <v>250</v>
      </c>
      <c r="I59" s="5" t="n">
        <v>1</v>
      </c>
      <c r="J59" s="6" t="n">
        <v>0</v>
      </c>
      <c r="K59" s="7" t="n">
        <f aca="false">H59*I59*(1-J59)</f>
        <v>250</v>
      </c>
      <c r="L59" s="2" t="s">
        <v>46</v>
      </c>
      <c r="M59" s="2" t="s">
        <v>35</v>
      </c>
      <c r="N59" s="2" t="s">
        <v>23</v>
      </c>
      <c r="O59" s="2" t="n">
        <v>4</v>
      </c>
    </row>
    <row r="60" customFormat="false" ht="15" hidden="false" customHeight="false" outlineLevel="0" collapsed="false">
      <c r="A60" s="2" t="s">
        <v>114</v>
      </c>
      <c r="B60" s="3" t="n">
        <v>46257</v>
      </c>
      <c r="C60" s="2" t="s">
        <v>43</v>
      </c>
      <c r="D60" s="2" t="s">
        <v>44</v>
      </c>
      <c r="E60" s="2" t="s">
        <v>38</v>
      </c>
      <c r="F60" s="2" t="s">
        <v>39</v>
      </c>
      <c r="G60" s="2" t="s">
        <v>40</v>
      </c>
      <c r="H60" s="4" t="n">
        <v>180</v>
      </c>
      <c r="I60" s="5" t="n">
        <v>1</v>
      </c>
      <c r="J60" s="6" t="n">
        <v>0.2</v>
      </c>
      <c r="K60" s="7" t="n">
        <f aca="false">H60*I60*(1-J60)</f>
        <v>144</v>
      </c>
      <c r="L60" s="2" t="s">
        <v>21</v>
      </c>
      <c r="M60" s="2" t="s">
        <v>30</v>
      </c>
      <c r="N60" s="2" t="s">
        <v>62</v>
      </c>
      <c r="O60" s="2" t="n">
        <v>4</v>
      </c>
    </row>
    <row r="61" customFormat="false" ht="15" hidden="false" customHeight="false" outlineLevel="0" collapsed="false">
      <c r="A61" s="2" t="s">
        <v>115</v>
      </c>
      <c r="B61" s="3" t="n">
        <v>46258</v>
      </c>
      <c r="C61" s="2" t="s">
        <v>57</v>
      </c>
      <c r="D61" s="2" t="s">
        <v>74</v>
      </c>
      <c r="E61" s="2" t="s">
        <v>65</v>
      </c>
      <c r="F61" s="2" t="s">
        <v>28</v>
      </c>
      <c r="G61" s="2" t="s">
        <v>29</v>
      </c>
      <c r="H61" s="4" t="n">
        <v>350</v>
      </c>
      <c r="I61" s="5" t="n">
        <v>2</v>
      </c>
      <c r="J61" s="6" t="n">
        <v>0</v>
      </c>
      <c r="K61" s="7" t="n">
        <f aca="false">H61*I61*(1-J61)</f>
        <v>700</v>
      </c>
      <c r="L61" s="2" t="s">
        <v>21</v>
      </c>
      <c r="M61" s="2" t="s">
        <v>35</v>
      </c>
      <c r="N61" s="2" t="s">
        <v>23</v>
      </c>
      <c r="O61" s="2" t="n">
        <v>3</v>
      </c>
    </row>
    <row r="62" customFormat="false" ht="15" hidden="false" customHeight="false" outlineLevel="0" collapsed="false">
      <c r="A62" s="2" t="s">
        <v>116</v>
      </c>
      <c r="B62" s="3" t="n">
        <v>46259</v>
      </c>
      <c r="C62" s="2" t="s">
        <v>16</v>
      </c>
      <c r="D62" s="2" t="s">
        <v>17</v>
      </c>
      <c r="E62" s="2" t="s">
        <v>65</v>
      </c>
      <c r="F62" s="2" t="s">
        <v>28</v>
      </c>
      <c r="G62" s="2" t="s">
        <v>29</v>
      </c>
      <c r="H62" s="4" t="n">
        <v>350</v>
      </c>
      <c r="I62" s="5" t="n">
        <v>1</v>
      </c>
      <c r="J62" s="6" t="n">
        <v>0.2</v>
      </c>
      <c r="K62" s="7" t="n">
        <f aca="false">H62*I62*(1-J62)</f>
        <v>280</v>
      </c>
      <c r="L62" s="2" t="s">
        <v>46</v>
      </c>
      <c r="M62" s="2" t="s">
        <v>30</v>
      </c>
      <c r="N62" s="2" t="s">
        <v>62</v>
      </c>
      <c r="O62" s="2" t="n">
        <v>5</v>
      </c>
    </row>
    <row r="63" customFormat="false" ht="15" hidden="false" customHeight="false" outlineLevel="0" collapsed="false">
      <c r="A63" s="2" t="s">
        <v>117</v>
      </c>
      <c r="B63" s="3" t="n">
        <v>46260</v>
      </c>
      <c r="C63" s="2" t="s">
        <v>25</v>
      </c>
      <c r="D63" s="2" t="s">
        <v>60</v>
      </c>
      <c r="E63" s="2" t="s">
        <v>69</v>
      </c>
      <c r="F63" s="2" t="s">
        <v>70</v>
      </c>
      <c r="G63" s="2" t="s">
        <v>20</v>
      </c>
      <c r="H63" s="4" t="n">
        <v>230</v>
      </c>
      <c r="I63" s="5" t="n">
        <v>3</v>
      </c>
      <c r="J63" s="6" t="n">
        <v>0</v>
      </c>
      <c r="K63" s="7" t="n">
        <f aca="false">H63*I63*(1-J63)</f>
        <v>690</v>
      </c>
      <c r="L63" s="2" t="s">
        <v>46</v>
      </c>
      <c r="M63" s="2" t="s">
        <v>35</v>
      </c>
      <c r="N63" s="2" t="s">
        <v>23</v>
      </c>
      <c r="O63" s="2" t="n">
        <v>4</v>
      </c>
    </row>
    <row r="64" customFormat="false" ht="15" hidden="false" customHeight="false" outlineLevel="0" collapsed="false">
      <c r="A64" s="2" t="s">
        <v>118</v>
      </c>
      <c r="B64" s="3" t="n">
        <v>46260</v>
      </c>
      <c r="C64" s="2" t="s">
        <v>57</v>
      </c>
      <c r="D64" s="2" t="s">
        <v>58</v>
      </c>
      <c r="E64" s="2" t="s">
        <v>27</v>
      </c>
      <c r="F64" s="2" t="s">
        <v>28</v>
      </c>
      <c r="G64" s="2" t="s">
        <v>29</v>
      </c>
      <c r="H64" s="4" t="n">
        <v>300</v>
      </c>
      <c r="I64" s="5" t="n">
        <v>2</v>
      </c>
      <c r="J64" s="6" t="n">
        <v>0.2</v>
      </c>
      <c r="K64" s="7" t="n">
        <f aca="false">H64*I64*(1-J64)</f>
        <v>480</v>
      </c>
      <c r="L64" s="2" t="s">
        <v>21</v>
      </c>
      <c r="M64" s="2" t="s">
        <v>30</v>
      </c>
      <c r="N64" s="2" t="s">
        <v>49</v>
      </c>
      <c r="O64" s="2" t="n">
        <v>4</v>
      </c>
    </row>
    <row r="65" customFormat="false" ht="15" hidden="false" customHeight="false" outlineLevel="0" collapsed="false">
      <c r="A65" s="2" t="s">
        <v>119</v>
      </c>
      <c r="B65" s="3" t="n">
        <v>46260</v>
      </c>
      <c r="C65" s="2" t="s">
        <v>57</v>
      </c>
      <c r="D65" s="2" t="s">
        <v>74</v>
      </c>
      <c r="E65" s="2" t="s">
        <v>48</v>
      </c>
      <c r="F65" s="2" t="s">
        <v>39</v>
      </c>
      <c r="G65" s="2" t="s">
        <v>40</v>
      </c>
      <c r="H65" s="4" t="n">
        <v>240</v>
      </c>
      <c r="I65" s="5" t="n">
        <v>1</v>
      </c>
      <c r="J65" s="6" t="n">
        <v>0.2</v>
      </c>
      <c r="K65" s="7" t="n">
        <f aca="false">H65*I65*(1-J65)</f>
        <v>192</v>
      </c>
      <c r="L65" s="2" t="s">
        <v>21</v>
      </c>
      <c r="M65" s="2" t="s">
        <v>30</v>
      </c>
      <c r="N65" s="2" t="s">
        <v>62</v>
      </c>
      <c r="O65" s="2" t="n">
        <v>3</v>
      </c>
    </row>
    <row r="66" customFormat="false" ht="15" hidden="false" customHeight="false" outlineLevel="0" collapsed="false">
      <c r="A66" s="2" t="s">
        <v>120</v>
      </c>
      <c r="B66" s="3" t="n">
        <v>46262</v>
      </c>
      <c r="C66" s="2" t="s">
        <v>25</v>
      </c>
      <c r="D66" s="2" t="s">
        <v>60</v>
      </c>
      <c r="E66" s="2" t="s">
        <v>52</v>
      </c>
      <c r="F66" s="2" t="s">
        <v>19</v>
      </c>
      <c r="G66" s="2" t="s">
        <v>29</v>
      </c>
      <c r="H66" s="4" t="n">
        <v>220</v>
      </c>
      <c r="I66" s="5" t="n">
        <v>1</v>
      </c>
      <c r="J66" s="6" t="n">
        <v>0.05</v>
      </c>
      <c r="K66" s="7" t="n">
        <f aca="false">H66*I66*(1-J66)</f>
        <v>209</v>
      </c>
      <c r="L66" s="2" t="s">
        <v>46</v>
      </c>
      <c r="M66" s="2" t="s">
        <v>35</v>
      </c>
      <c r="N66" s="2" t="s">
        <v>49</v>
      </c>
      <c r="O66" s="2" t="n">
        <v>3</v>
      </c>
    </row>
    <row r="67" customFormat="false" ht="15" hidden="false" customHeight="false" outlineLevel="0" collapsed="false">
      <c r="A67" s="2" t="s">
        <v>121</v>
      </c>
      <c r="B67" s="3" t="n">
        <v>46263</v>
      </c>
      <c r="C67" s="2" t="s">
        <v>25</v>
      </c>
      <c r="D67" s="2" t="s">
        <v>26</v>
      </c>
      <c r="E67" s="2" t="s">
        <v>48</v>
      </c>
      <c r="F67" s="2" t="s">
        <v>39</v>
      </c>
      <c r="G67" s="2" t="s">
        <v>40</v>
      </c>
      <c r="H67" s="4" t="n">
        <v>240</v>
      </c>
      <c r="I67" s="5" t="n">
        <v>3</v>
      </c>
      <c r="J67" s="6" t="n">
        <v>0.15</v>
      </c>
      <c r="K67" s="7" t="n">
        <f aca="false">H67*I67*(1-J67)</f>
        <v>612</v>
      </c>
      <c r="L67" s="2" t="s">
        <v>21</v>
      </c>
      <c r="M67" s="2" t="s">
        <v>22</v>
      </c>
      <c r="N67" s="2" t="s">
        <v>62</v>
      </c>
      <c r="O67" s="2" t="n">
        <v>5</v>
      </c>
    </row>
    <row r="68" customFormat="false" ht="15" hidden="false" customHeight="false" outlineLevel="0" collapsed="false">
      <c r="A68" s="2" t="s">
        <v>122</v>
      </c>
      <c r="B68" s="3" t="n">
        <v>46263</v>
      </c>
      <c r="C68" s="2" t="s">
        <v>32</v>
      </c>
      <c r="D68" s="2" t="s">
        <v>54</v>
      </c>
      <c r="E68" s="2" t="s">
        <v>45</v>
      </c>
      <c r="F68" s="2" t="s">
        <v>19</v>
      </c>
      <c r="G68" s="2" t="s">
        <v>29</v>
      </c>
      <c r="H68" s="4" t="n">
        <v>270</v>
      </c>
      <c r="I68" s="5" t="n">
        <v>3</v>
      </c>
      <c r="J68" s="6" t="n">
        <v>0</v>
      </c>
      <c r="K68" s="7" t="n">
        <f aca="false">H68*I68*(1-J68)</f>
        <v>810</v>
      </c>
      <c r="L68" s="2" t="s">
        <v>21</v>
      </c>
      <c r="M68" s="2" t="s">
        <v>35</v>
      </c>
      <c r="N68" s="2" t="s">
        <v>23</v>
      </c>
      <c r="O68" s="2" t="n">
        <v>5</v>
      </c>
    </row>
    <row r="69" customFormat="false" ht="15" hidden="false" customHeight="false" outlineLevel="0" collapsed="false">
      <c r="A69" s="2" t="s">
        <v>123</v>
      </c>
      <c r="B69" s="3" t="n">
        <v>46265</v>
      </c>
      <c r="C69" s="2" t="s">
        <v>43</v>
      </c>
      <c r="D69" s="2" t="s">
        <v>44</v>
      </c>
      <c r="E69" s="2" t="s">
        <v>52</v>
      </c>
      <c r="F69" s="2" t="s">
        <v>19</v>
      </c>
      <c r="G69" s="2" t="s">
        <v>20</v>
      </c>
      <c r="H69" s="4" t="n">
        <v>250</v>
      </c>
      <c r="I69" s="5" t="n">
        <v>3</v>
      </c>
      <c r="J69" s="6" t="n">
        <v>0.1</v>
      </c>
      <c r="K69" s="7" t="n">
        <f aca="false">H69*I69*(1-J69)</f>
        <v>675</v>
      </c>
      <c r="L69" s="2" t="s">
        <v>46</v>
      </c>
      <c r="M69" s="2" t="s">
        <v>30</v>
      </c>
      <c r="N69" s="2" t="s">
        <v>49</v>
      </c>
      <c r="O69" s="2" t="n">
        <v>5</v>
      </c>
    </row>
    <row r="70" customFormat="false" ht="15" hidden="false" customHeight="false" outlineLevel="0" collapsed="false">
      <c r="A70" s="2" t="s">
        <v>124</v>
      </c>
      <c r="B70" s="3" t="n">
        <v>46266</v>
      </c>
      <c r="C70" s="2" t="s">
        <v>32</v>
      </c>
      <c r="D70" s="2" t="s">
        <v>54</v>
      </c>
      <c r="E70" s="2" t="s">
        <v>18</v>
      </c>
      <c r="F70" s="2" t="s">
        <v>19</v>
      </c>
      <c r="G70" s="2" t="s">
        <v>29</v>
      </c>
      <c r="H70" s="4" t="n">
        <v>250</v>
      </c>
      <c r="I70" s="5" t="n">
        <v>1</v>
      </c>
      <c r="J70" s="6" t="n">
        <v>0.15</v>
      </c>
      <c r="K70" s="7" t="n">
        <f aca="false">H70*I70*(1-J70)</f>
        <v>212.5</v>
      </c>
      <c r="L70" s="2" t="s">
        <v>46</v>
      </c>
      <c r="M70" s="2" t="s">
        <v>22</v>
      </c>
      <c r="N70" s="2" t="s">
        <v>23</v>
      </c>
      <c r="O70" s="2" t="n">
        <v>4</v>
      </c>
    </row>
    <row r="71" customFormat="false" ht="15" hidden="false" customHeight="false" outlineLevel="0" collapsed="false">
      <c r="A71" s="2" t="s">
        <v>125</v>
      </c>
      <c r="B71" s="3" t="n">
        <v>46266</v>
      </c>
      <c r="C71" s="2" t="s">
        <v>16</v>
      </c>
      <c r="D71" s="2" t="s">
        <v>37</v>
      </c>
      <c r="E71" s="2" t="s">
        <v>18</v>
      </c>
      <c r="F71" s="2" t="s">
        <v>19</v>
      </c>
      <c r="G71" s="2" t="s">
        <v>29</v>
      </c>
      <c r="H71" s="4" t="n">
        <v>250</v>
      </c>
      <c r="I71" s="5" t="n">
        <v>2</v>
      </c>
      <c r="J71" s="6" t="n">
        <v>0</v>
      </c>
      <c r="K71" s="7" t="n">
        <f aca="false">H71*I71*(1-J71)</f>
        <v>500</v>
      </c>
      <c r="L71" s="2" t="s">
        <v>46</v>
      </c>
      <c r="M71" s="2" t="s">
        <v>30</v>
      </c>
      <c r="N71" s="2" t="s">
        <v>23</v>
      </c>
      <c r="O71" s="2" t="n">
        <v>2</v>
      </c>
    </row>
    <row r="72" customFormat="false" ht="15" hidden="false" customHeight="false" outlineLevel="0" collapsed="false">
      <c r="A72" s="2" t="s">
        <v>126</v>
      </c>
      <c r="B72" s="3" t="n">
        <v>46269</v>
      </c>
      <c r="C72" s="2" t="s">
        <v>25</v>
      </c>
      <c r="D72" s="2" t="s">
        <v>60</v>
      </c>
      <c r="E72" s="2" t="s">
        <v>27</v>
      </c>
      <c r="F72" s="2" t="s">
        <v>28</v>
      </c>
      <c r="G72" s="2" t="s">
        <v>20</v>
      </c>
      <c r="H72" s="4" t="n">
        <v>330</v>
      </c>
      <c r="I72" s="5" t="n">
        <v>2</v>
      </c>
      <c r="J72" s="6" t="n">
        <v>0</v>
      </c>
      <c r="K72" s="7" t="n">
        <f aca="false">H72*I72*(1-J72)</f>
        <v>660</v>
      </c>
      <c r="L72" s="2" t="s">
        <v>21</v>
      </c>
      <c r="M72" s="2" t="s">
        <v>35</v>
      </c>
      <c r="N72" s="2" t="s">
        <v>62</v>
      </c>
      <c r="O72" s="2" t="n">
        <v>4</v>
      </c>
    </row>
    <row r="73" customFormat="false" ht="15" hidden="false" customHeight="false" outlineLevel="0" collapsed="false">
      <c r="A73" s="2" t="s">
        <v>127</v>
      </c>
      <c r="B73" s="3" t="n">
        <v>46270</v>
      </c>
      <c r="C73" s="2" t="s">
        <v>32</v>
      </c>
      <c r="D73" s="2" t="s">
        <v>33</v>
      </c>
      <c r="E73" s="2" t="s">
        <v>45</v>
      </c>
      <c r="F73" s="2" t="s">
        <v>19</v>
      </c>
      <c r="G73" s="2" t="s">
        <v>20</v>
      </c>
      <c r="H73" s="4" t="n">
        <v>300</v>
      </c>
      <c r="I73" s="5" t="n">
        <v>1</v>
      </c>
      <c r="J73" s="6" t="n">
        <v>0</v>
      </c>
      <c r="K73" s="7" t="n">
        <f aca="false">H73*I73*(1-J73)</f>
        <v>300</v>
      </c>
      <c r="L73" s="2" t="s">
        <v>46</v>
      </c>
      <c r="M73" s="2" t="s">
        <v>35</v>
      </c>
      <c r="N73" s="2" t="s">
        <v>23</v>
      </c>
      <c r="O73" s="2" t="n">
        <v>4</v>
      </c>
    </row>
    <row r="74" customFormat="false" ht="15" hidden="false" customHeight="false" outlineLevel="0" collapsed="false">
      <c r="A74" s="2" t="s">
        <v>128</v>
      </c>
      <c r="B74" s="3" t="n">
        <v>46271</v>
      </c>
      <c r="C74" s="2" t="s">
        <v>16</v>
      </c>
      <c r="D74" s="2" t="s">
        <v>37</v>
      </c>
      <c r="E74" s="2" t="s">
        <v>27</v>
      </c>
      <c r="F74" s="2" t="s">
        <v>28</v>
      </c>
      <c r="G74" s="2" t="s">
        <v>29</v>
      </c>
      <c r="H74" s="4" t="n">
        <v>300</v>
      </c>
      <c r="I74" s="5" t="n">
        <v>2</v>
      </c>
      <c r="J74" s="6" t="n">
        <v>0</v>
      </c>
      <c r="K74" s="7" t="n">
        <f aca="false">H74*I74*(1-J74)</f>
        <v>600</v>
      </c>
      <c r="L74" s="2" t="s">
        <v>46</v>
      </c>
      <c r="M74" s="2" t="s">
        <v>30</v>
      </c>
      <c r="N74" s="2" t="s">
        <v>23</v>
      </c>
      <c r="O74" s="2" t="n">
        <v>5</v>
      </c>
    </row>
    <row r="75" customFormat="false" ht="15" hidden="false" customHeight="false" outlineLevel="0" collapsed="false">
      <c r="A75" s="2" t="s">
        <v>129</v>
      </c>
      <c r="B75" s="3" t="n">
        <v>46272</v>
      </c>
      <c r="C75" s="2" t="s">
        <v>32</v>
      </c>
      <c r="D75" s="2" t="s">
        <v>54</v>
      </c>
      <c r="E75" s="2" t="s">
        <v>27</v>
      </c>
      <c r="F75" s="2" t="s">
        <v>28</v>
      </c>
      <c r="G75" s="2" t="s">
        <v>29</v>
      </c>
      <c r="H75" s="4" t="n">
        <v>300</v>
      </c>
      <c r="I75" s="5" t="n">
        <v>1</v>
      </c>
      <c r="J75" s="6" t="n">
        <v>0.1</v>
      </c>
      <c r="K75" s="7" t="n">
        <f aca="false">H75*I75*(1-J75)</f>
        <v>270</v>
      </c>
      <c r="L75" s="2" t="s">
        <v>55</v>
      </c>
      <c r="M75" s="2" t="s">
        <v>30</v>
      </c>
      <c r="N75" s="2" t="s">
        <v>62</v>
      </c>
      <c r="O75" s="2" t="n">
        <v>2</v>
      </c>
    </row>
    <row r="76" customFormat="false" ht="15" hidden="false" customHeight="false" outlineLevel="0" collapsed="false">
      <c r="A76" s="2" t="s">
        <v>130</v>
      </c>
      <c r="B76" s="3" t="n">
        <v>46272</v>
      </c>
      <c r="C76" s="2" t="s">
        <v>25</v>
      </c>
      <c r="D76" s="2" t="s">
        <v>60</v>
      </c>
      <c r="E76" s="2" t="s">
        <v>48</v>
      </c>
      <c r="F76" s="2" t="s">
        <v>39</v>
      </c>
      <c r="G76" s="2" t="s">
        <v>40</v>
      </c>
      <c r="H76" s="4" t="n">
        <v>240</v>
      </c>
      <c r="I76" s="5" t="n">
        <v>2</v>
      </c>
      <c r="J76" s="6" t="n">
        <v>0</v>
      </c>
      <c r="K76" s="7" t="n">
        <f aca="false">H76*I76*(1-J76)</f>
        <v>480</v>
      </c>
      <c r="L76" s="2" t="s">
        <v>21</v>
      </c>
      <c r="M76" s="2" t="s">
        <v>22</v>
      </c>
      <c r="N76" s="2" t="s">
        <v>49</v>
      </c>
      <c r="O76" s="2" t="n">
        <v>4</v>
      </c>
    </row>
    <row r="77" customFormat="false" ht="15" hidden="false" customHeight="false" outlineLevel="0" collapsed="false">
      <c r="A77" s="2" t="s">
        <v>131</v>
      </c>
      <c r="B77" s="3" t="n">
        <v>46272</v>
      </c>
      <c r="C77" s="2" t="s">
        <v>57</v>
      </c>
      <c r="D77" s="2" t="s">
        <v>74</v>
      </c>
      <c r="E77" s="2" t="s">
        <v>69</v>
      </c>
      <c r="F77" s="2" t="s">
        <v>70</v>
      </c>
      <c r="G77" s="2" t="s">
        <v>29</v>
      </c>
      <c r="H77" s="4" t="n">
        <v>200</v>
      </c>
      <c r="I77" s="5" t="n">
        <v>2</v>
      </c>
      <c r="J77" s="6" t="n">
        <v>0.05</v>
      </c>
      <c r="K77" s="7" t="n">
        <f aca="false">H77*I77*(1-J77)</f>
        <v>380</v>
      </c>
      <c r="L77" s="2" t="s">
        <v>41</v>
      </c>
      <c r="M77" s="2" t="s">
        <v>35</v>
      </c>
      <c r="N77" s="2" t="s">
        <v>23</v>
      </c>
      <c r="O77" s="2" t="n">
        <v>4</v>
      </c>
    </row>
    <row r="78" customFormat="false" ht="15" hidden="false" customHeight="false" outlineLevel="0" collapsed="false">
      <c r="A78" s="2" t="s">
        <v>132</v>
      </c>
      <c r="B78" s="3" t="n">
        <v>46275</v>
      </c>
      <c r="C78" s="2" t="s">
        <v>25</v>
      </c>
      <c r="D78" s="2" t="s">
        <v>60</v>
      </c>
      <c r="E78" s="2" t="s">
        <v>27</v>
      </c>
      <c r="F78" s="2" t="s">
        <v>28</v>
      </c>
      <c r="G78" s="2" t="s">
        <v>29</v>
      </c>
      <c r="H78" s="4" t="n">
        <v>300</v>
      </c>
      <c r="I78" s="5" t="n">
        <v>1</v>
      </c>
      <c r="J78" s="6" t="n">
        <v>0.15</v>
      </c>
      <c r="K78" s="7" t="n">
        <f aca="false">H78*I78*(1-J78)</f>
        <v>255</v>
      </c>
      <c r="L78" s="2" t="s">
        <v>46</v>
      </c>
      <c r="M78" s="2" t="s">
        <v>22</v>
      </c>
      <c r="N78" s="2" t="s">
        <v>49</v>
      </c>
      <c r="O78" s="2" t="n">
        <v>2</v>
      </c>
    </row>
    <row r="79" customFormat="false" ht="15" hidden="false" customHeight="false" outlineLevel="0" collapsed="false">
      <c r="A79" s="2" t="s">
        <v>133</v>
      </c>
      <c r="B79" s="3" t="n">
        <v>46277</v>
      </c>
      <c r="C79" s="2" t="s">
        <v>25</v>
      </c>
      <c r="D79" s="2" t="s">
        <v>26</v>
      </c>
      <c r="E79" s="2" t="s">
        <v>45</v>
      </c>
      <c r="F79" s="2" t="s">
        <v>19</v>
      </c>
      <c r="G79" s="2" t="s">
        <v>20</v>
      </c>
      <c r="H79" s="4" t="n">
        <v>300</v>
      </c>
      <c r="I79" s="5" t="n">
        <v>1</v>
      </c>
      <c r="J79" s="6" t="n">
        <v>0.15</v>
      </c>
      <c r="K79" s="7" t="n">
        <f aca="false">H79*I79*(1-J79)</f>
        <v>255</v>
      </c>
      <c r="L79" s="2" t="s">
        <v>21</v>
      </c>
      <c r="M79" s="2" t="s">
        <v>22</v>
      </c>
      <c r="N79" s="2" t="s">
        <v>23</v>
      </c>
      <c r="O79" s="2"/>
    </row>
    <row r="80" customFormat="false" ht="15" hidden="false" customHeight="false" outlineLevel="0" collapsed="false">
      <c r="A80" s="2" t="s">
        <v>134</v>
      </c>
      <c r="B80" s="3" t="n">
        <v>46278</v>
      </c>
      <c r="C80" s="2" t="s">
        <v>32</v>
      </c>
      <c r="D80" s="2" t="s">
        <v>54</v>
      </c>
      <c r="E80" s="2" t="s">
        <v>48</v>
      </c>
      <c r="F80" s="2" t="s">
        <v>39</v>
      </c>
      <c r="G80" s="2" t="s">
        <v>40</v>
      </c>
      <c r="H80" s="4" t="n">
        <v>240</v>
      </c>
      <c r="I80" s="5" t="n">
        <v>2</v>
      </c>
      <c r="J80" s="6" t="n">
        <v>0.15</v>
      </c>
      <c r="K80" s="7" t="n">
        <f aca="false">H80*I80*(1-J80)</f>
        <v>408</v>
      </c>
      <c r="L80" s="2" t="s">
        <v>21</v>
      </c>
      <c r="M80" s="2" t="s">
        <v>22</v>
      </c>
      <c r="N80" s="2" t="s">
        <v>23</v>
      </c>
      <c r="O80" s="2" t="n">
        <v>4</v>
      </c>
    </row>
    <row r="81" customFormat="false" ht="15" hidden="false" customHeight="false" outlineLevel="0" collapsed="false">
      <c r="A81" s="2" t="s">
        <v>135</v>
      </c>
      <c r="B81" s="3" t="n">
        <v>46278</v>
      </c>
      <c r="C81" s="2" t="s">
        <v>43</v>
      </c>
      <c r="D81" s="2" t="s">
        <v>85</v>
      </c>
      <c r="E81" s="2" t="s">
        <v>27</v>
      </c>
      <c r="F81" s="2" t="s">
        <v>28</v>
      </c>
      <c r="G81" s="2" t="s">
        <v>29</v>
      </c>
      <c r="H81" s="4" t="n">
        <v>300</v>
      </c>
      <c r="I81" s="5" t="n">
        <v>1</v>
      </c>
      <c r="J81" s="6" t="n">
        <v>0</v>
      </c>
      <c r="K81" s="7" t="n">
        <f aca="false">H81*I81*(1-J81)</f>
        <v>300</v>
      </c>
      <c r="L81" s="2" t="s">
        <v>41</v>
      </c>
      <c r="M81" s="2" t="s">
        <v>22</v>
      </c>
      <c r="N81" s="2" t="s">
        <v>49</v>
      </c>
      <c r="O81" s="2" t="n">
        <v>3</v>
      </c>
    </row>
    <row r="82" customFormat="false" ht="15" hidden="false" customHeight="false" outlineLevel="0" collapsed="false">
      <c r="A82" s="2" t="s">
        <v>136</v>
      </c>
      <c r="B82" s="3" t="n">
        <v>46279</v>
      </c>
      <c r="C82" s="2" t="s">
        <v>32</v>
      </c>
      <c r="D82" s="2" t="s">
        <v>33</v>
      </c>
      <c r="E82" s="2" t="s">
        <v>38</v>
      </c>
      <c r="F82" s="2" t="s">
        <v>39</v>
      </c>
      <c r="G82" s="2" t="s">
        <v>40</v>
      </c>
      <c r="H82" s="4" t="n">
        <v>180</v>
      </c>
      <c r="I82" s="5" t="n">
        <v>3</v>
      </c>
      <c r="J82" s="6" t="n">
        <v>0</v>
      </c>
      <c r="K82" s="7" t="n">
        <f aca="false">H82*I82*(1-J82)</f>
        <v>540</v>
      </c>
      <c r="L82" s="2" t="s">
        <v>21</v>
      </c>
      <c r="M82" s="2" t="s">
        <v>22</v>
      </c>
      <c r="N82" s="2" t="s">
        <v>23</v>
      </c>
      <c r="O82" s="2" t="n">
        <v>5</v>
      </c>
    </row>
    <row r="83" customFormat="false" ht="15" hidden="false" customHeight="false" outlineLevel="0" collapsed="false">
      <c r="A83" s="2" t="s">
        <v>137</v>
      </c>
      <c r="B83" s="3" t="n">
        <v>46279</v>
      </c>
      <c r="C83" s="2" t="s">
        <v>25</v>
      </c>
      <c r="D83" s="2" t="s">
        <v>26</v>
      </c>
      <c r="E83" s="2" t="s">
        <v>65</v>
      </c>
      <c r="F83" s="2" t="s">
        <v>28</v>
      </c>
      <c r="G83" s="2" t="s">
        <v>34</v>
      </c>
      <c r="H83" s="4" t="n">
        <v>410</v>
      </c>
      <c r="I83" s="5" t="n">
        <v>1</v>
      </c>
      <c r="J83" s="6" t="n">
        <v>0</v>
      </c>
      <c r="K83" s="7" t="n">
        <f aca="false">H83*I83*(1-J83)</f>
        <v>410</v>
      </c>
      <c r="L83" s="2" t="s">
        <v>46</v>
      </c>
      <c r="M83" s="2" t="s">
        <v>35</v>
      </c>
      <c r="N83" s="2" t="s">
        <v>23</v>
      </c>
      <c r="O83" s="2" t="n">
        <v>4</v>
      </c>
    </row>
    <row r="84" customFormat="false" ht="15" hidden="false" customHeight="false" outlineLevel="0" collapsed="false">
      <c r="A84" s="2" t="s">
        <v>138</v>
      </c>
      <c r="B84" s="3" t="n">
        <v>46283</v>
      </c>
      <c r="C84" s="2" t="s">
        <v>25</v>
      </c>
      <c r="D84" s="2" t="s">
        <v>26</v>
      </c>
      <c r="E84" s="2" t="s">
        <v>48</v>
      </c>
      <c r="F84" s="2" t="s">
        <v>39</v>
      </c>
      <c r="G84" s="2" t="s">
        <v>40</v>
      </c>
      <c r="H84" s="4" t="n">
        <v>240</v>
      </c>
      <c r="I84" s="5" t="n">
        <v>2</v>
      </c>
      <c r="J84" s="6" t="n">
        <v>0</v>
      </c>
      <c r="K84" s="7" t="n">
        <f aca="false">H84*I84*(1-J84)</f>
        <v>480</v>
      </c>
      <c r="L84" s="2" t="s">
        <v>46</v>
      </c>
      <c r="M84" s="2" t="s">
        <v>30</v>
      </c>
      <c r="N84" s="2" t="s">
        <v>23</v>
      </c>
      <c r="O84" s="2" t="n">
        <v>4</v>
      </c>
    </row>
    <row r="85" customFormat="false" ht="15" hidden="false" customHeight="false" outlineLevel="0" collapsed="false">
      <c r="A85" s="2" t="s">
        <v>139</v>
      </c>
      <c r="B85" s="3" t="n">
        <v>46284</v>
      </c>
      <c r="C85" s="2" t="s">
        <v>25</v>
      </c>
      <c r="D85" s="2" t="s">
        <v>26</v>
      </c>
      <c r="E85" s="2" t="s">
        <v>38</v>
      </c>
      <c r="F85" s="2" t="s">
        <v>39</v>
      </c>
      <c r="G85" s="2" t="s">
        <v>40</v>
      </c>
      <c r="H85" s="4" t="n">
        <v>180</v>
      </c>
      <c r="I85" s="5" t="n">
        <v>1</v>
      </c>
      <c r="J85" s="6" t="n">
        <v>0</v>
      </c>
      <c r="K85" s="7" t="n">
        <f aca="false">H85*I85*(1-J85)</f>
        <v>180</v>
      </c>
      <c r="L85" s="2" t="s">
        <v>46</v>
      </c>
      <c r="M85" s="2" t="s">
        <v>22</v>
      </c>
      <c r="N85" s="2" t="s">
        <v>62</v>
      </c>
      <c r="O85" s="2" t="n">
        <v>5</v>
      </c>
    </row>
    <row r="86" customFormat="false" ht="15" hidden="false" customHeight="false" outlineLevel="0" collapsed="false">
      <c r="A86" s="2" t="s">
        <v>140</v>
      </c>
      <c r="B86" s="3" t="n">
        <v>46285</v>
      </c>
      <c r="C86" s="2" t="s">
        <v>43</v>
      </c>
      <c r="D86" s="2" t="s">
        <v>44</v>
      </c>
      <c r="E86" s="2" t="s">
        <v>69</v>
      </c>
      <c r="F86" s="2" t="s">
        <v>70</v>
      </c>
      <c r="G86" s="2" t="s">
        <v>29</v>
      </c>
      <c r="H86" s="4" t="n">
        <v>200</v>
      </c>
      <c r="I86" s="5" t="n">
        <v>1</v>
      </c>
      <c r="J86" s="6" t="n">
        <v>0.15</v>
      </c>
      <c r="K86" s="7" t="n">
        <f aca="false">H86*I86*(1-J86)</f>
        <v>170</v>
      </c>
      <c r="L86" s="2" t="s">
        <v>41</v>
      </c>
      <c r="M86" s="2" t="s">
        <v>22</v>
      </c>
      <c r="N86" s="2" t="s">
        <v>23</v>
      </c>
      <c r="O86" s="2" t="n">
        <v>4</v>
      </c>
    </row>
    <row r="87" customFormat="false" ht="15" hidden="false" customHeight="false" outlineLevel="0" collapsed="false">
      <c r="A87" s="2" t="s">
        <v>141</v>
      </c>
      <c r="B87" s="3" t="n">
        <v>46285</v>
      </c>
      <c r="C87" s="2" t="s">
        <v>25</v>
      </c>
      <c r="D87" s="2" t="s">
        <v>60</v>
      </c>
      <c r="E87" s="2" t="s">
        <v>18</v>
      </c>
      <c r="F87" s="2" t="s">
        <v>19</v>
      </c>
      <c r="G87" s="2" t="s">
        <v>29</v>
      </c>
      <c r="H87" s="4" t="n">
        <v>250</v>
      </c>
      <c r="I87" s="5" t="n">
        <v>1</v>
      </c>
      <c r="J87" s="6" t="n">
        <v>0</v>
      </c>
      <c r="K87" s="7" t="n">
        <f aca="false">H87*I87*(1-J87)</f>
        <v>250</v>
      </c>
      <c r="L87" s="2" t="s">
        <v>55</v>
      </c>
      <c r="M87" s="2" t="s">
        <v>22</v>
      </c>
      <c r="N87" s="2" t="s">
        <v>23</v>
      </c>
      <c r="O87" s="2" t="n">
        <v>4</v>
      </c>
    </row>
    <row r="88" customFormat="false" ht="15" hidden="false" customHeight="false" outlineLevel="0" collapsed="false">
      <c r="A88" s="2" t="s">
        <v>142</v>
      </c>
      <c r="B88" s="3" t="n">
        <v>46286</v>
      </c>
      <c r="C88" s="2" t="s">
        <v>32</v>
      </c>
      <c r="D88" s="2" t="s">
        <v>54</v>
      </c>
      <c r="E88" s="2" t="s">
        <v>45</v>
      </c>
      <c r="F88" s="2" t="s">
        <v>19</v>
      </c>
      <c r="G88" s="2" t="s">
        <v>29</v>
      </c>
      <c r="H88" s="4" t="n">
        <v>270</v>
      </c>
      <c r="I88" s="5" t="n">
        <v>2</v>
      </c>
      <c r="J88" s="6" t="n">
        <v>0.05</v>
      </c>
      <c r="K88" s="7" t="n">
        <f aca="false">H88*I88*(1-J88)</f>
        <v>513</v>
      </c>
      <c r="L88" s="2" t="s">
        <v>21</v>
      </c>
      <c r="M88" s="2" t="s">
        <v>35</v>
      </c>
      <c r="N88" s="2" t="s">
        <v>49</v>
      </c>
      <c r="O88" s="2" t="n">
        <v>4</v>
      </c>
    </row>
    <row r="89" customFormat="false" ht="15" hidden="false" customHeight="false" outlineLevel="0" collapsed="false">
      <c r="A89" s="2" t="s">
        <v>143</v>
      </c>
      <c r="B89" s="3" t="n">
        <v>46286</v>
      </c>
      <c r="C89" s="2" t="s">
        <v>32</v>
      </c>
      <c r="D89" s="2" t="s">
        <v>33</v>
      </c>
      <c r="E89" s="2" t="s">
        <v>45</v>
      </c>
      <c r="F89" s="2" t="s">
        <v>19</v>
      </c>
      <c r="G89" s="2" t="s">
        <v>29</v>
      </c>
      <c r="H89" s="4" t="n">
        <v>270</v>
      </c>
      <c r="I89" s="5" t="n">
        <v>1</v>
      </c>
      <c r="J89" s="6" t="n">
        <v>0.2</v>
      </c>
      <c r="K89" s="7" t="n">
        <f aca="false">H89*I89*(1-J89)</f>
        <v>216</v>
      </c>
      <c r="L89" s="2" t="s">
        <v>21</v>
      </c>
      <c r="M89" s="2" t="s">
        <v>30</v>
      </c>
      <c r="N89" s="2" t="s">
        <v>23</v>
      </c>
      <c r="O89" s="2" t="n">
        <v>3</v>
      </c>
    </row>
    <row r="90" customFormat="false" ht="15" hidden="false" customHeight="false" outlineLevel="0" collapsed="false">
      <c r="A90" s="2" t="s">
        <v>144</v>
      </c>
      <c r="B90" s="3" t="n">
        <v>46287</v>
      </c>
      <c r="C90" s="2" t="s">
        <v>57</v>
      </c>
      <c r="D90" s="2" t="s">
        <v>74</v>
      </c>
      <c r="E90" s="2" t="s">
        <v>38</v>
      </c>
      <c r="F90" s="2" t="s">
        <v>39</v>
      </c>
      <c r="G90" s="2" t="s">
        <v>40</v>
      </c>
      <c r="H90" s="4" t="n">
        <v>180</v>
      </c>
      <c r="I90" s="5" t="n">
        <v>5</v>
      </c>
      <c r="J90" s="6" t="n">
        <v>0</v>
      </c>
      <c r="K90" s="7" t="n">
        <f aca="false">H90*I90*(1-J90)</f>
        <v>900</v>
      </c>
      <c r="L90" s="2" t="s">
        <v>21</v>
      </c>
      <c r="M90" s="2" t="s">
        <v>30</v>
      </c>
      <c r="N90" s="2" t="s">
        <v>23</v>
      </c>
      <c r="O90" s="2" t="n">
        <v>3</v>
      </c>
    </row>
    <row r="91" customFormat="false" ht="15" hidden="false" customHeight="false" outlineLevel="0" collapsed="false">
      <c r="A91" s="2" t="s">
        <v>145</v>
      </c>
      <c r="B91" s="3" t="n">
        <v>46288</v>
      </c>
      <c r="C91" s="2" t="s">
        <v>43</v>
      </c>
      <c r="D91" s="2" t="s">
        <v>44</v>
      </c>
      <c r="E91" s="2" t="s">
        <v>38</v>
      </c>
      <c r="F91" s="2" t="s">
        <v>39</v>
      </c>
      <c r="G91" s="2" t="s">
        <v>40</v>
      </c>
      <c r="H91" s="4" t="n">
        <v>180</v>
      </c>
      <c r="I91" s="5" t="n">
        <v>1</v>
      </c>
      <c r="J91" s="6" t="n">
        <v>0.2</v>
      </c>
      <c r="K91" s="7" t="n">
        <f aca="false">H91*I91*(1-J91)</f>
        <v>144</v>
      </c>
      <c r="L91" s="2" t="s">
        <v>46</v>
      </c>
      <c r="M91" s="2" t="s">
        <v>30</v>
      </c>
      <c r="N91" s="2" t="s">
        <v>23</v>
      </c>
      <c r="O91" s="2" t="n">
        <v>5</v>
      </c>
    </row>
    <row r="92" customFormat="false" ht="15" hidden="false" customHeight="false" outlineLevel="0" collapsed="false">
      <c r="A92" s="2" t="s">
        <v>146</v>
      </c>
      <c r="B92" s="3" t="n">
        <v>46290</v>
      </c>
      <c r="C92" s="2" t="s">
        <v>16</v>
      </c>
      <c r="D92" s="2" t="s">
        <v>37</v>
      </c>
      <c r="E92" s="2" t="s">
        <v>52</v>
      </c>
      <c r="F92" s="2" t="s">
        <v>19</v>
      </c>
      <c r="G92" s="2" t="s">
        <v>34</v>
      </c>
      <c r="H92" s="4" t="n">
        <v>280</v>
      </c>
      <c r="I92" s="5" t="n">
        <v>2</v>
      </c>
      <c r="J92" s="6" t="n">
        <v>0</v>
      </c>
      <c r="K92" s="7" t="n">
        <f aca="false">H92*I92*(1-J92)</f>
        <v>560</v>
      </c>
      <c r="L92" s="2" t="s">
        <v>46</v>
      </c>
      <c r="M92" s="2" t="s">
        <v>35</v>
      </c>
      <c r="N92" s="2" t="s">
        <v>23</v>
      </c>
      <c r="O92" s="2" t="n">
        <v>4</v>
      </c>
    </row>
    <row r="93" customFormat="false" ht="15" hidden="false" customHeight="false" outlineLevel="0" collapsed="false">
      <c r="A93" s="2" t="s">
        <v>147</v>
      </c>
      <c r="B93" s="3" t="n">
        <v>46290</v>
      </c>
      <c r="C93" s="2" t="s">
        <v>57</v>
      </c>
      <c r="D93" s="2" t="s">
        <v>58</v>
      </c>
      <c r="E93" s="2" t="s">
        <v>52</v>
      </c>
      <c r="F93" s="2" t="s">
        <v>19</v>
      </c>
      <c r="G93" s="2" t="s">
        <v>34</v>
      </c>
      <c r="H93" s="4" t="n">
        <v>280</v>
      </c>
      <c r="I93" s="5" t="n">
        <v>1</v>
      </c>
      <c r="J93" s="6" t="n">
        <v>0.05</v>
      </c>
      <c r="K93" s="7" t="n">
        <f aca="false">H93*I93*(1-J93)</f>
        <v>266</v>
      </c>
      <c r="L93" s="2" t="s">
        <v>21</v>
      </c>
      <c r="M93" s="2" t="s">
        <v>35</v>
      </c>
      <c r="N93" s="2" t="s">
        <v>49</v>
      </c>
      <c r="O93" s="2" t="n">
        <v>4</v>
      </c>
    </row>
    <row r="94" customFormat="false" ht="15" hidden="false" customHeight="false" outlineLevel="0" collapsed="false">
      <c r="A94" s="2" t="s">
        <v>148</v>
      </c>
      <c r="B94" s="3" t="n">
        <v>46291</v>
      </c>
      <c r="C94" s="2" t="s">
        <v>25</v>
      </c>
      <c r="D94" s="2" t="s">
        <v>60</v>
      </c>
      <c r="E94" s="2" t="s">
        <v>18</v>
      </c>
      <c r="F94" s="2" t="s">
        <v>19</v>
      </c>
      <c r="G94" s="2" t="s">
        <v>34</v>
      </c>
      <c r="H94" s="4" t="n">
        <v>310</v>
      </c>
      <c r="I94" s="5" t="n">
        <v>3</v>
      </c>
      <c r="J94" s="6" t="n">
        <v>0</v>
      </c>
      <c r="K94" s="7" t="n">
        <f aca="false">H94*I94*(1-J94)</f>
        <v>930</v>
      </c>
      <c r="L94" s="2" t="s">
        <v>46</v>
      </c>
      <c r="M94" s="2" t="s">
        <v>35</v>
      </c>
      <c r="N94" s="2" t="s">
        <v>23</v>
      </c>
      <c r="O94" s="2" t="n">
        <v>5</v>
      </c>
    </row>
    <row r="95" customFormat="false" ht="15" hidden="false" customHeight="false" outlineLevel="0" collapsed="false">
      <c r="A95" s="2" t="s">
        <v>149</v>
      </c>
      <c r="B95" s="3" t="n">
        <v>46292</v>
      </c>
      <c r="C95" s="2" t="s">
        <v>57</v>
      </c>
      <c r="D95" s="2" t="s">
        <v>58</v>
      </c>
      <c r="E95" s="2" t="s">
        <v>27</v>
      </c>
      <c r="F95" s="2" t="s">
        <v>28</v>
      </c>
      <c r="G95" s="2" t="s">
        <v>34</v>
      </c>
      <c r="H95" s="4" t="n">
        <v>360</v>
      </c>
      <c r="I95" s="5" t="n">
        <v>2</v>
      </c>
      <c r="J95" s="6" t="n">
        <v>0</v>
      </c>
      <c r="K95" s="7" t="n">
        <f aca="false">H95*I95*(1-J95)</f>
        <v>720</v>
      </c>
      <c r="L95" s="2" t="s">
        <v>21</v>
      </c>
      <c r="M95" s="2" t="s">
        <v>22</v>
      </c>
      <c r="N95" s="2" t="s">
        <v>23</v>
      </c>
      <c r="O95" s="2" t="n">
        <v>5</v>
      </c>
    </row>
    <row r="96" customFormat="false" ht="15" hidden="false" customHeight="false" outlineLevel="0" collapsed="false">
      <c r="A96" s="2" t="s">
        <v>150</v>
      </c>
      <c r="B96" s="3" t="n">
        <v>46292</v>
      </c>
      <c r="C96" s="2" t="s">
        <v>25</v>
      </c>
      <c r="D96" s="2" t="s">
        <v>26</v>
      </c>
      <c r="E96" s="2" t="s">
        <v>45</v>
      </c>
      <c r="F96" s="2" t="s">
        <v>19</v>
      </c>
      <c r="G96" s="2" t="s">
        <v>29</v>
      </c>
      <c r="H96" s="4" t="n">
        <v>270</v>
      </c>
      <c r="I96" s="5" t="n">
        <v>2</v>
      </c>
      <c r="J96" s="6" t="n">
        <v>0.1</v>
      </c>
      <c r="K96" s="7" t="n">
        <f aca="false">H96*I96*(1-J96)</f>
        <v>486</v>
      </c>
      <c r="L96" s="2" t="s">
        <v>21</v>
      </c>
      <c r="M96" s="2" t="s">
        <v>30</v>
      </c>
      <c r="N96" s="2" t="s">
        <v>23</v>
      </c>
      <c r="O96" s="2" t="n">
        <v>4</v>
      </c>
    </row>
    <row r="97" customFormat="false" ht="15" hidden="false" customHeight="false" outlineLevel="0" collapsed="false">
      <c r="A97" s="2" t="s">
        <v>151</v>
      </c>
      <c r="B97" s="3" t="n">
        <v>46293</v>
      </c>
      <c r="C97" s="2" t="s">
        <v>32</v>
      </c>
      <c r="D97" s="2" t="s">
        <v>54</v>
      </c>
      <c r="E97" s="2" t="s">
        <v>52</v>
      </c>
      <c r="F97" s="2" t="s">
        <v>19</v>
      </c>
      <c r="G97" s="2" t="s">
        <v>29</v>
      </c>
      <c r="H97" s="4" t="n">
        <v>220</v>
      </c>
      <c r="I97" s="5" t="n">
        <v>2</v>
      </c>
      <c r="J97" s="6" t="n">
        <v>0</v>
      </c>
      <c r="K97" s="7" t="n">
        <f aca="false">H97*I97*(1-J97)</f>
        <v>440</v>
      </c>
      <c r="L97" s="2" t="s">
        <v>55</v>
      </c>
      <c r="M97" s="2" t="s">
        <v>30</v>
      </c>
      <c r="N97" s="2" t="s">
        <v>23</v>
      </c>
      <c r="O97" s="2" t="n">
        <v>5</v>
      </c>
    </row>
    <row r="98" customFormat="false" ht="15" hidden="false" customHeight="false" outlineLevel="0" collapsed="false">
      <c r="A98" s="2" t="s">
        <v>152</v>
      </c>
      <c r="B98" s="3" t="n">
        <v>46293</v>
      </c>
      <c r="C98" s="2" t="s">
        <v>25</v>
      </c>
      <c r="D98" s="2" t="s">
        <v>26</v>
      </c>
      <c r="E98" s="2" t="s">
        <v>18</v>
      </c>
      <c r="F98" s="2" t="s">
        <v>19</v>
      </c>
      <c r="G98" s="2" t="s">
        <v>29</v>
      </c>
      <c r="H98" s="4" t="n">
        <v>250</v>
      </c>
      <c r="I98" s="5" t="n">
        <v>3</v>
      </c>
      <c r="J98" s="6" t="n">
        <v>0</v>
      </c>
      <c r="K98" s="7" t="n">
        <f aca="false">H98*I98*(1-J98)</f>
        <v>750</v>
      </c>
      <c r="L98" s="2" t="s">
        <v>46</v>
      </c>
      <c r="M98" s="2" t="s">
        <v>35</v>
      </c>
      <c r="N98" s="2" t="s">
        <v>62</v>
      </c>
      <c r="O98" s="2" t="n">
        <v>4</v>
      </c>
    </row>
    <row r="99" customFormat="false" ht="15" hidden="false" customHeight="false" outlineLevel="0" collapsed="false">
      <c r="A99" s="2" t="s">
        <v>153</v>
      </c>
      <c r="B99" s="3" t="n">
        <v>46293</v>
      </c>
      <c r="C99" s="2" t="s">
        <v>57</v>
      </c>
      <c r="D99" s="2" t="s">
        <v>74</v>
      </c>
      <c r="E99" s="2" t="s">
        <v>65</v>
      </c>
      <c r="F99" s="2" t="s">
        <v>28</v>
      </c>
      <c r="G99" s="2" t="s">
        <v>20</v>
      </c>
      <c r="H99" s="4" t="n">
        <v>380</v>
      </c>
      <c r="I99" s="5" t="n">
        <v>1</v>
      </c>
      <c r="J99" s="6" t="n">
        <v>0</v>
      </c>
      <c r="K99" s="7" t="n">
        <f aca="false">H99*I99*(1-J99)</f>
        <v>380</v>
      </c>
      <c r="L99" s="2" t="s">
        <v>46</v>
      </c>
      <c r="M99" s="2" t="s">
        <v>22</v>
      </c>
      <c r="N99" s="2" t="s">
        <v>23</v>
      </c>
      <c r="O99" s="2" t="n">
        <v>3</v>
      </c>
    </row>
    <row r="100" customFormat="false" ht="15" hidden="false" customHeight="false" outlineLevel="0" collapsed="false">
      <c r="A100" s="2" t="s">
        <v>154</v>
      </c>
      <c r="B100" s="3" t="n">
        <v>46294</v>
      </c>
      <c r="C100" s="2" t="s">
        <v>25</v>
      </c>
      <c r="D100" s="2" t="s">
        <v>60</v>
      </c>
      <c r="E100" s="2" t="s">
        <v>45</v>
      </c>
      <c r="F100" s="2" t="s">
        <v>19</v>
      </c>
      <c r="G100" s="2" t="s">
        <v>34</v>
      </c>
      <c r="H100" s="4" t="n">
        <v>330</v>
      </c>
      <c r="I100" s="5" t="n">
        <v>3</v>
      </c>
      <c r="J100" s="6" t="n">
        <v>0</v>
      </c>
      <c r="K100" s="7" t="n">
        <f aca="false">H100*I100*(1-J100)</f>
        <v>990</v>
      </c>
      <c r="L100" s="2" t="s">
        <v>21</v>
      </c>
      <c r="M100" s="2" t="s">
        <v>22</v>
      </c>
      <c r="N100" s="2" t="s">
        <v>23</v>
      </c>
      <c r="O100" s="2" t="n">
        <v>4</v>
      </c>
    </row>
    <row r="101" customFormat="false" ht="15" hidden="false" customHeight="false" outlineLevel="0" collapsed="false">
      <c r="A101" s="2" t="s">
        <v>155</v>
      </c>
      <c r="B101" s="3" t="n">
        <v>46295</v>
      </c>
      <c r="C101" s="2" t="s">
        <v>32</v>
      </c>
      <c r="D101" s="2" t="s">
        <v>33</v>
      </c>
      <c r="E101" s="2" t="s">
        <v>65</v>
      </c>
      <c r="F101" s="2" t="s">
        <v>28</v>
      </c>
      <c r="G101" s="2" t="s">
        <v>34</v>
      </c>
      <c r="H101" s="4" t="n">
        <v>410</v>
      </c>
      <c r="I101" s="5" t="n">
        <v>2</v>
      </c>
      <c r="J101" s="6" t="n">
        <v>0</v>
      </c>
      <c r="K101" s="7" t="n">
        <f aca="false">H101*I101*(1-J101)</f>
        <v>820</v>
      </c>
      <c r="L101" s="2" t="s">
        <v>21</v>
      </c>
      <c r="M101" s="2" t="s">
        <v>35</v>
      </c>
      <c r="N101" s="2" t="s">
        <v>23</v>
      </c>
      <c r="O101" s="2"/>
    </row>
  </sheetData>
  <autoFilter ref="A1:O101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0"/>
    <col collapsed="false" customWidth="true" hidden="false" outlineLevel="0" max="2" min="2" style="0" width="14"/>
    <col collapsed="false" customWidth="true" hidden="false" outlineLevel="0" max="4" min="3" style="0" width="12"/>
  </cols>
  <sheetData>
    <row r="1" customFormat="false" ht="27.75" hidden="false" customHeight="true" outlineLevel="0" collapsed="false">
      <c r="A1" s="1" t="s">
        <v>4</v>
      </c>
      <c r="B1" s="1" t="s">
        <v>5</v>
      </c>
      <c r="C1" s="1" t="s">
        <v>156</v>
      </c>
      <c r="D1" s="1" t="s">
        <v>157</v>
      </c>
    </row>
    <row r="2" customFormat="false" ht="15" hidden="false" customHeight="false" outlineLevel="0" collapsed="false">
      <c r="A2" s="5" t="s">
        <v>18</v>
      </c>
      <c r="B2" s="5" t="s">
        <v>19</v>
      </c>
      <c r="C2" s="4" t="n">
        <v>250</v>
      </c>
      <c r="D2" s="4" t="n">
        <v>80</v>
      </c>
    </row>
    <row r="3" customFormat="false" ht="15" hidden="false" customHeight="false" outlineLevel="0" collapsed="false">
      <c r="A3" s="5" t="s">
        <v>45</v>
      </c>
      <c r="B3" s="5" t="s">
        <v>19</v>
      </c>
      <c r="C3" s="4" t="n">
        <v>270</v>
      </c>
      <c r="D3" s="4" t="n">
        <v>90</v>
      </c>
    </row>
    <row r="4" customFormat="false" ht="15" hidden="false" customHeight="false" outlineLevel="0" collapsed="false">
      <c r="A4" s="5" t="s">
        <v>52</v>
      </c>
      <c r="B4" s="5" t="s">
        <v>19</v>
      </c>
      <c r="C4" s="4" t="n">
        <v>220</v>
      </c>
      <c r="D4" s="4" t="n">
        <v>60</v>
      </c>
    </row>
    <row r="5" customFormat="false" ht="15" hidden="false" customHeight="false" outlineLevel="0" collapsed="false">
      <c r="A5" s="5" t="s">
        <v>27</v>
      </c>
      <c r="B5" s="5" t="s">
        <v>28</v>
      </c>
      <c r="C5" s="4" t="n">
        <v>300</v>
      </c>
      <c r="D5" s="4" t="n">
        <v>95</v>
      </c>
    </row>
    <row r="6" customFormat="false" ht="15" hidden="false" customHeight="false" outlineLevel="0" collapsed="false">
      <c r="A6" s="5" t="s">
        <v>65</v>
      </c>
      <c r="B6" s="5" t="s">
        <v>28</v>
      </c>
      <c r="C6" s="4" t="n">
        <v>350</v>
      </c>
      <c r="D6" s="4" t="n">
        <v>120</v>
      </c>
    </row>
    <row r="7" customFormat="false" ht="15" hidden="false" customHeight="false" outlineLevel="0" collapsed="false">
      <c r="A7" s="5" t="s">
        <v>69</v>
      </c>
      <c r="B7" s="5" t="s">
        <v>70</v>
      </c>
      <c r="C7" s="4" t="n">
        <v>200</v>
      </c>
      <c r="D7" s="4" t="n">
        <v>55</v>
      </c>
    </row>
    <row r="8" customFormat="false" ht="15" hidden="false" customHeight="false" outlineLevel="0" collapsed="false">
      <c r="A8" s="5" t="s">
        <v>38</v>
      </c>
      <c r="B8" s="5" t="s">
        <v>39</v>
      </c>
      <c r="C8" s="4" t="n">
        <v>180</v>
      </c>
      <c r="D8" s="4" t="n">
        <v>70</v>
      </c>
    </row>
    <row r="9" customFormat="false" ht="15" hidden="false" customHeight="false" outlineLevel="0" collapsed="false">
      <c r="A9" s="5" t="s">
        <v>48</v>
      </c>
      <c r="B9" s="5" t="s">
        <v>39</v>
      </c>
      <c r="C9" s="4" t="n">
        <v>240</v>
      </c>
      <c r="D9" s="4" t="n">
        <v>100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1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0"/>
    <col collapsed="false" customWidth="true" hidden="false" outlineLevel="0" max="2" min="2" style="0" width="20"/>
    <col collapsed="false" customWidth="true" hidden="false" outlineLevel="0" max="3" min="3" style="0" width="13"/>
    <col collapsed="false" customWidth="true" hidden="false" outlineLevel="0" max="4" min="4" style="0" width="10"/>
    <col collapsed="false" customWidth="true" hidden="false" outlineLevel="0" max="5" min="5" style="0" width="14"/>
  </cols>
  <sheetData>
    <row r="1" customFormat="false" ht="27.75" hidden="false" customHeight="true" outlineLevel="0" collapsed="false">
      <c r="A1" s="1" t="s">
        <v>3</v>
      </c>
      <c r="B1" s="1" t="s">
        <v>158</v>
      </c>
      <c r="C1" s="1" t="s">
        <v>2</v>
      </c>
      <c r="D1" s="1" t="s">
        <v>159</v>
      </c>
      <c r="E1" s="1" t="s">
        <v>160</v>
      </c>
    </row>
    <row r="2" customFormat="false" ht="15" hidden="false" customHeight="false" outlineLevel="0" collapsed="false">
      <c r="A2" s="5" t="s">
        <v>44</v>
      </c>
      <c r="B2" s="5" t="s">
        <v>161</v>
      </c>
      <c r="C2" s="5" t="s">
        <v>43</v>
      </c>
      <c r="D2" s="5" t="s">
        <v>162</v>
      </c>
      <c r="E2" s="5" t="s">
        <v>163</v>
      </c>
    </row>
    <row r="3" customFormat="false" ht="15" hidden="false" customHeight="false" outlineLevel="0" collapsed="false">
      <c r="A3" s="5" t="s">
        <v>85</v>
      </c>
      <c r="B3" s="5" t="s">
        <v>164</v>
      </c>
      <c r="C3" s="5" t="s">
        <v>43</v>
      </c>
      <c r="D3" s="5" t="s">
        <v>162</v>
      </c>
      <c r="E3" s="5" t="s">
        <v>165</v>
      </c>
    </row>
    <row r="4" customFormat="false" ht="15" hidden="false" customHeight="false" outlineLevel="0" collapsed="false">
      <c r="A4" s="5" t="s">
        <v>33</v>
      </c>
      <c r="B4" s="5" t="s">
        <v>166</v>
      </c>
      <c r="C4" s="5" t="s">
        <v>32</v>
      </c>
      <c r="D4" s="5" t="s">
        <v>167</v>
      </c>
      <c r="E4" s="5" t="s">
        <v>163</v>
      </c>
    </row>
    <row r="5" customFormat="false" ht="15" hidden="false" customHeight="false" outlineLevel="0" collapsed="false">
      <c r="A5" s="5" t="s">
        <v>54</v>
      </c>
      <c r="B5" s="5" t="s">
        <v>168</v>
      </c>
      <c r="C5" s="5" t="s">
        <v>32</v>
      </c>
      <c r="D5" s="5" t="s">
        <v>167</v>
      </c>
      <c r="E5" s="5" t="s">
        <v>165</v>
      </c>
    </row>
    <row r="6" customFormat="false" ht="15" hidden="false" customHeight="false" outlineLevel="0" collapsed="false">
      <c r="A6" s="5" t="s">
        <v>26</v>
      </c>
      <c r="B6" s="5" t="s">
        <v>169</v>
      </c>
      <c r="C6" s="5" t="s">
        <v>25</v>
      </c>
      <c r="D6" s="5" t="s">
        <v>170</v>
      </c>
      <c r="E6" s="5" t="s">
        <v>163</v>
      </c>
    </row>
    <row r="7" customFormat="false" ht="15" hidden="false" customHeight="false" outlineLevel="0" collapsed="false">
      <c r="A7" s="5" t="s">
        <v>60</v>
      </c>
      <c r="B7" s="5" t="s">
        <v>171</v>
      </c>
      <c r="C7" s="5" t="s">
        <v>25</v>
      </c>
      <c r="D7" s="5" t="s">
        <v>170</v>
      </c>
      <c r="E7" s="5" t="s">
        <v>172</v>
      </c>
    </row>
    <row r="8" customFormat="false" ht="15" hidden="false" customHeight="false" outlineLevel="0" collapsed="false">
      <c r="A8" s="5" t="s">
        <v>17</v>
      </c>
      <c r="B8" s="5" t="s">
        <v>173</v>
      </c>
      <c r="C8" s="5" t="s">
        <v>16</v>
      </c>
      <c r="D8" s="5" t="s">
        <v>170</v>
      </c>
      <c r="E8" s="5" t="s">
        <v>163</v>
      </c>
    </row>
    <row r="9" customFormat="false" ht="15" hidden="false" customHeight="false" outlineLevel="0" collapsed="false">
      <c r="A9" s="5" t="s">
        <v>37</v>
      </c>
      <c r="B9" s="5" t="s">
        <v>174</v>
      </c>
      <c r="C9" s="5" t="s">
        <v>16</v>
      </c>
      <c r="D9" s="5" t="s">
        <v>170</v>
      </c>
      <c r="E9" s="5" t="s">
        <v>172</v>
      </c>
    </row>
    <row r="10" customFormat="false" ht="15" hidden="false" customHeight="false" outlineLevel="0" collapsed="false">
      <c r="A10" s="5" t="s">
        <v>58</v>
      </c>
      <c r="B10" s="5" t="s">
        <v>175</v>
      </c>
      <c r="C10" s="5" t="s">
        <v>57</v>
      </c>
      <c r="D10" s="5" t="s">
        <v>167</v>
      </c>
      <c r="E10" s="5" t="s">
        <v>163</v>
      </c>
    </row>
    <row r="11" customFormat="false" ht="15" hidden="false" customHeight="false" outlineLevel="0" collapsed="false">
      <c r="A11" s="5" t="s">
        <v>74</v>
      </c>
      <c r="B11" s="5" t="s">
        <v>176</v>
      </c>
      <c r="C11" s="5" t="s">
        <v>57</v>
      </c>
      <c r="D11" s="5" t="s">
        <v>167</v>
      </c>
      <c r="E11" s="5" t="s">
        <v>165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2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6"/>
    <col collapsed="false" customWidth="true" hidden="false" outlineLevel="0" max="2" min="2" style="0" width="18"/>
    <col collapsed="false" customWidth="true" hidden="false" outlineLevel="0" max="3" min="3" style="0" width="62"/>
    <col collapsed="false" customWidth="true" hidden="false" outlineLevel="0" max="4" min="4" style="0" width="14"/>
  </cols>
  <sheetData>
    <row r="1" customFormat="false" ht="27.75" hidden="false" customHeight="true" outlineLevel="0" collapsed="false">
      <c r="A1" s="1" t="s">
        <v>177</v>
      </c>
      <c r="B1" s="1" t="s">
        <v>178</v>
      </c>
      <c r="C1" s="1" t="s">
        <v>179</v>
      </c>
      <c r="D1" s="1" t="s">
        <v>180</v>
      </c>
    </row>
    <row r="2" customFormat="false" ht="15" hidden="false" customHeight="false" outlineLevel="0" collapsed="false">
      <c r="A2" s="5" t="s">
        <v>0</v>
      </c>
      <c r="B2" s="5" t="s">
        <v>181</v>
      </c>
      <c r="C2" s="5" t="s">
        <v>182</v>
      </c>
      <c r="D2" s="5" t="s">
        <v>15</v>
      </c>
    </row>
    <row r="3" customFormat="false" ht="15" hidden="false" customHeight="false" outlineLevel="0" collapsed="false">
      <c r="A3" s="5" t="s">
        <v>1</v>
      </c>
      <c r="B3" s="5" t="s">
        <v>1</v>
      </c>
      <c r="C3" s="5" t="s">
        <v>183</v>
      </c>
      <c r="D3" s="5" t="s">
        <v>184</v>
      </c>
    </row>
    <row r="4" customFormat="false" ht="15" hidden="false" customHeight="false" outlineLevel="0" collapsed="false">
      <c r="A4" s="5" t="s">
        <v>2</v>
      </c>
      <c r="B4" s="5" t="s">
        <v>185</v>
      </c>
      <c r="C4" s="5" t="s">
        <v>186</v>
      </c>
      <c r="D4" s="5" t="s">
        <v>43</v>
      </c>
    </row>
    <row r="5" customFormat="false" ht="15" hidden="false" customHeight="false" outlineLevel="0" collapsed="false">
      <c r="A5" s="5" t="s">
        <v>3</v>
      </c>
      <c r="B5" s="5" t="s">
        <v>181</v>
      </c>
      <c r="C5" s="5" t="s">
        <v>187</v>
      </c>
      <c r="D5" s="5" t="s">
        <v>44</v>
      </c>
    </row>
    <row r="6" customFormat="false" ht="15" hidden="false" customHeight="false" outlineLevel="0" collapsed="false">
      <c r="A6" s="5" t="s">
        <v>4</v>
      </c>
      <c r="B6" s="5" t="s">
        <v>185</v>
      </c>
      <c r="C6" s="5" t="s">
        <v>188</v>
      </c>
      <c r="D6" s="5" t="s">
        <v>45</v>
      </c>
    </row>
    <row r="7" customFormat="false" ht="15" hidden="false" customHeight="false" outlineLevel="0" collapsed="false">
      <c r="A7" s="5" t="s">
        <v>5</v>
      </c>
      <c r="B7" s="5" t="s">
        <v>185</v>
      </c>
      <c r="C7" s="5" t="s">
        <v>189</v>
      </c>
      <c r="D7" s="5" t="s">
        <v>19</v>
      </c>
    </row>
    <row r="8" customFormat="false" ht="15" hidden="false" customHeight="false" outlineLevel="0" collapsed="false">
      <c r="A8" s="5" t="s">
        <v>6</v>
      </c>
      <c r="B8" s="5" t="s">
        <v>185</v>
      </c>
      <c r="C8" s="5" t="s">
        <v>190</v>
      </c>
      <c r="D8" s="5" t="s">
        <v>20</v>
      </c>
    </row>
    <row r="9" customFormat="false" ht="15" hidden="false" customHeight="false" outlineLevel="0" collapsed="false">
      <c r="A9" s="5" t="s">
        <v>7</v>
      </c>
      <c r="B9" s="5" t="s">
        <v>191</v>
      </c>
      <c r="C9" s="5" t="s">
        <v>192</v>
      </c>
      <c r="D9" s="5" t="s">
        <v>193</v>
      </c>
    </row>
    <row r="10" customFormat="false" ht="15" hidden="false" customHeight="false" outlineLevel="0" collapsed="false">
      <c r="A10" s="5" t="s">
        <v>8</v>
      </c>
      <c r="B10" s="5" t="s">
        <v>194</v>
      </c>
      <c r="C10" s="5" t="s">
        <v>195</v>
      </c>
      <c r="D10" s="5" t="s">
        <v>196</v>
      </c>
    </row>
    <row r="11" customFormat="false" ht="15" hidden="false" customHeight="false" outlineLevel="0" collapsed="false">
      <c r="A11" s="5" t="s">
        <v>9</v>
      </c>
      <c r="B11" s="5" t="s">
        <v>197</v>
      </c>
      <c r="C11" s="5" t="s">
        <v>198</v>
      </c>
      <c r="D11" s="5" t="s">
        <v>199</v>
      </c>
    </row>
    <row r="12" customFormat="false" ht="15" hidden="false" customHeight="false" outlineLevel="0" collapsed="false">
      <c r="A12" s="5" t="s">
        <v>10</v>
      </c>
      <c r="B12" s="5" t="s">
        <v>191</v>
      </c>
      <c r="C12" s="5" t="s">
        <v>200</v>
      </c>
      <c r="D12" s="5" t="s">
        <v>201</v>
      </c>
    </row>
    <row r="13" customFormat="false" ht="15" hidden="false" customHeight="false" outlineLevel="0" collapsed="false">
      <c r="A13" s="5" t="s">
        <v>11</v>
      </c>
      <c r="B13" s="5" t="s">
        <v>185</v>
      </c>
      <c r="C13" s="5" t="s">
        <v>202</v>
      </c>
      <c r="D13" s="5" t="s">
        <v>21</v>
      </c>
    </row>
    <row r="14" customFormat="false" ht="15" hidden="false" customHeight="false" outlineLevel="0" collapsed="false">
      <c r="A14" s="5" t="s">
        <v>12</v>
      </c>
      <c r="B14" s="5" t="s">
        <v>185</v>
      </c>
      <c r="C14" s="5" t="s">
        <v>203</v>
      </c>
      <c r="D14" s="5" t="s">
        <v>30</v>
      </c>
    </row>
    <row r="15" customFormat="false" ht="15" hidden="false" customHeight="false" outlineLevel="0" collapsed="false">
      <c r="A15" s="5" t="s">
        <v>13</v>
      </c>
      <c r="B15" s="5" t="s">
        <v>185</v>
      </c>
      <c r="C15" s="5" t="s">
        <v>204</v>
      </c>
      <c r="D15" s="5" t="s">
        <v>49</v>
      </c>
    </row>
    <row r="16" customFormat="false" ht="15" hidden="false" customHeight="false" outlineLevel="0" collapsed="false">
      <c r="A16" s="5" t="s">
        <v>14</v>
      </c>
      <c r="B16" s="5" t="s">
        <v>205</v>
      </c>
      <c r="C16" s="5" t="s">
        <v>206</v>
      </c>
      <c r="D16" s="5" t="s">
        <v>207</v>
      </c>
    </row>
    <row r="18" customFormat="false" ht="15" hidden="false" customHeight="false" outlineLevel="0" collapsed="false">
      <c r="A18" s="8" t="s">
        <v>208</v>
      </c>
    </row>
    <row r="19" customFormat="false" ht="15" hidden="false" customHeight="false" outlineLevel="0" collapsed="false">
      <c r="A19" s="9" t="s">
        <v>209</v>
      </c>
    </row>
    <row r="20" customFormat="false" ht="15" hidden="false" customHeight="false" outlineLevel="0" collapsed="false">
      <c r="A20" s="9" t="s">
        <v>210</v>
      </c>
    </row>
    <row r="21" customFormat="false" ht="15" hidden="false" customHeight="false" outlineLevel="0" collapsed="false">
      <c r="A21" s="9" t="s">
        <v>211</v>
      </c>
    </row>
    <row r="22" customFormat="false" ht="15" hidden="false" customHeight="false" outlineLevel="0" collapsed="false">
      <c r="A22" s="9" t="s">
        <v>212</v>
      </c>
    </row>
    <row r="23" customFormat="false" ht="15" hidden="false" customHeight="false" outlineLevel="0" collapsed="false">
      <c r="A23" s="9" t="s">
        <v>213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2026-10-05T06:51:13Z</dcterms:created>
  <dc:creator>openpyxl</dc:creator>
  <dc:description/>
  <dc:language>en-US</dc:language>
  <cp:lastModifiedBy/>
  <dcterms:modified xsi:type="dcterms:W3CDTF">2026-10-05T06:51:13Z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